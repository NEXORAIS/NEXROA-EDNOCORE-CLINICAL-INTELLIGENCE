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talle (227 casos)" sheetId="1" state="visible" r:id="rId3"/>
    <sheet name="Resumen por categorí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<sst xmlns="http://schemas.openxmlformats.org/spreadsheetml/2006/main" count="1196" uniqueCount="711">
  <si>
    <t xml:space="preserve">Archivo</t>
  </si>
  <si>
    <t xml:space="preserve">Caso ID</t>
  </si>
  <si>
    <t xml:space="preserve">Descripción</t>
  </si>
  <si>
    <t xml:space="preserve">Categorías</t>
  </si>
  <si>
    <t xml:space="preserve">Justificación</t>
  </si>
  <si>
    <t xml:space="preserve">A</t>
  </si>
  <si>
    <t xml:space="preserve">B</t>
  </si>
  <si>
    <t xml:space="preserve">C</t>
  </si>
  <si>
    <t xml:space="preserve">D</t>
  </si>
  <si>
    <t xml:space="preserve">E</t>
  </si>
  <si>
    <t xml:space="preserve">F</t>
  </si>
  <si>
    <t xml:space="preserve">G</t>
  </si>
  <si>
    <t xml:space="preserve">H</t>
  </si>
  <si>
    <t xml:space="preserve">I</t>
  </si>
  <si>
    <t xml:space="preserve">clinical-cases.test.mjs</t>
  </si>
  <si>
    <t xml:space="preserve">A1</t>
  </si>
  <si>
    <t xml:space="preserve">T2D virgen + IC -&gt; Metformina + SGLT2i con beneficio IC</t>
  </si>
  <si>
    <t xml:space="preserve">Paciente tipico con comorbilidad (IC) que guia la seleccion de farmaco segun guia, sin valores extremos</t>
  </si>
  <si>
    <t xml:space="preserve">A2</t>
  </si>
  <si>
    <t xml:space="preserve">T2D virgen + ERC (eGFR calculado) -&gt; Metformina + SGLT2i con beneficio erc</t>
  </si>
  <si>
    <t xml:space="preserve">Escenario clinico comun de comorbilidad renal que dirige la eleccion terapeutica</t>
  </si>
  <si>
    <t xml:space="preserve">A3</t>
  </si>
  <si>
    <t xml:space="preserve">T2D virgen + ASCVD (IAM previo) -&gt; Metformina + agente con beneficio ASCVD</t>
  </si>
  <si>
    <t xml:space="preserve">Paciente tipico con antecedente cardiovascular que guia la terapia segun guia</t>
  </si>
  <si>
    <t xml:space="preserve">A4</t>
  </si>
  <si>
    <t xml:space="preserve">T2D virgen + obesidad (IMC 33) sin otras comorbilidades -&gt; Metformina + agente de perdida de peso</t>
  </si>
  <si>
    <t xml:space="preserve">Escenario comun de comorbilidad (obesidad) sin datos extremos</t>
  </si>
  <si>
    <t xml:space="preserve">A5</t>
  </si>
  <si>
    <t xml:space="preserve">T2D en Metformina+Dapagliflozina (no max) + IC -&gt; solo recordatorios de TITULAR, sin farmaco nuevo</t>
  </si>
  <si>
    <t xml:space="preserve">Paciente tipico en continuacion de tratamiento, logica de titulacion estandar</t>
  </si>
  <si>
    <t xml:space="preserve">A6</t>
  </si>
  <si>
    <t xml:space="preserve">A1c 11.2% (hiperglucemia severa) -&gt; nota de considerar insulina basal simultanea</t>
  </si>
  <si>
    <t xml:space="preserve">B,H</t>
  </si>
  <si>
    <t xml:space="preserve">A1c muy elevado es un valor extremo del espectro clinico y dispara una alerta de seguridad (necesidad de insulina)</t>
  </si>
  <si>
    <t xml:space="preserve">B1 (HTA)</t>
  </si>
  <si>
    <t xml:space="preserve">HTA Etapa 1 (132/84), sin ASCVD/ERC/DM, sin PREVENT-CVD -&gt; ensayo de estilo de vida, NO farmaco todavia</t>
  </si>
  <si>
    <t xml:space="preserve">D,G</t>
  </si>
  <si>
    <t xml:space="preserve">Depende de que el dato PREVENT-CVD no fue capturado, e implementa la provision especifica de la guia AHA/ACC 2025 que exige riesgo confirmado antes de tratar</t>
  </si>
  <si>
    <t xml:space="preserve">B1b (HTA)</t>
  </si>
  <si>
    <t xml:space="preserve">HTA Etapa 1 + PREVENT-CVD 8.2% (&gt;=7.5%) -&gt; riesgo confirmado, inicia Amlodipino de inmediato</t>
  </si>
  <si>
    <t xml:space="preserve">Prueba el umbral especifico de la guia 2025 que usa PREVENT-CVD para confirmar riesgo y habilitar tratamiento inmediato</t>
  </si>
  <si>
    <t xml:space="preserve">B1c (HTA)</t>
  </si>
  <si>
    <t xml:space="preserve">HTA Etapa 1 + PREVENT-CVD 4.1% (&lt;7.5%) -&gt; sigue en ensayo de estilo de vida</t>
  </si>
  <si>
    <t xml:space="preserve">Prueba el mismo umbral guia-especifico de PREVENT-CVD del lado en que el riesgo no se confirma</t>
  </si>
  <si>
    <t xml:space="preserve">B1d (HTA)</t>
  </si>
  <si>
    <t xml:space="preserve">HTA Etapa 1 + ERC ya conocida (UACR 80), sin PREVENT-CVD -&gt; riesgo confirmado por comorbilidad, inicia farmaco de inmediato</t>
  </si>
  <si>
    <t xml:space="preserve">Falta el dato PREVENT-CVD pero la guia permite confirmar el riesgo por otra via (comorbilidad ya conocida)</t>
  </si>
  <si>
    <t xml:space="preserve">B1e (HTA)</t>
  </si>
  <si>
    <t xml:space="preserve">HTA Etapa 2 (155/98) sin ASCVD/ERC/DM/PREVENT -&gt; se trata igual, combo de inicio (Etapa 2 no pasa por el gate)</t>
  </si>
  <si>
    <t xml:space="preserve">Prueba la regla explicita de la guia de que Etapa 2 nunca pasa por el gate de PREVENT-CVD</t>
  </si>
  <si>
    <t xml:space="preserve">B2 (HTA)</t>
  </si>
  <si>
    <t xml:space="preserve">HTA Etapa 2 + albuminuria (UACR 60), virgen -&gt; combo de 2 clases, ARA-II/IECA primero</t>
  </si>
  <si>
    <t xml:space="preserve">Comorbilidad renal comun que dirige la clase de farmaco preferida, sin datos extremos</t>
  </si>
  <si>
    <t xml:space="preserve">B3 (HTA)</t>
  </si>
  <si>
    <t xml:space="preserve">En Amlodipino no maxeado, meta no alcanzada -&gt; titular antes de agregar clase nueva</t>
  </si>
  <si>
    <t xml:space="preserve">Escenario tipico de continuacion/titulacion de tratamiento antihipertensivo</t>
  </si>
  <si>
    <t xml:space="preserve">B4 (HTA)</t>
  </si>
  <si>
    <t xml:space="preserve">ERC+T2D con UACR alto, eGFR&gt;=25 -&gt; incluye Finerenona</t>
  </si>
  <si>
    <t xml:space="preserve">Comorbilidad renal-diabetica comun que guia la seleccion de farmaco</t>
  </si>
  <si>
    <t xml:space="preserve">B5 (regresion, HTA)</t>
  </si>
  <si>
    <t xml:space="preserve">Motor nunca sugiere Verapamilo/Diltiazem como 1a linea automatica</t>
  </si>
  <si>
    <t xml:space="preserve">Paciente tipico de HTA sin comorbilidades extremas; prueba de regresion sobre seleccion correcta de 1a linea</t>
  </si>
  <si>
    <t xml:space="preserve">C1</t>
  </si>
  <si>
    <t xml:space="preserve">ASCVD + LDL 140, virgen -&gt; estatina de alta intensidad</t>
  </si>
  <si>
    <t xml:space="preserve">Paciente tipico con ASCVD establecida, indicacion estandar de guia</t>
  </si>
  <si>
    <t xml:space="preserve">C2</t>
  </si>
  <si>
    <t xml:space="preserve">Estatina maxeada, LDL sobre meta, sin ASCVD/FH -&gt; solo Ezetimibe, sin PCSK9i</t>
  </si>
  <si>
    <t xml:space="preserve">Escenario comun de continuacion/escalonamiento de hipolipemiante</t>
  </si>
  <si>
    <t xml:space="preserve">C3</t>
  </si>
  <si>
    <t xml:space="preserve">Estatina+Ezetimibe maxeados, ASCVD, LDL sobre meta -&gt; escala a PCSK9i</t>
  </si>
  <si>
    <t xml:space="preserve">Escenario comun de escalonamiento terapeutico en paciente de alto riesgo</t>
  </si>
  <si>
    <t xml:space="preserve">C4</t>
  </si>
  <si>
    <t xml:space="preserve">TG 600 -&gt; Fenofibrato (prevencion de pancreatitis), sin Icosapent etilo</t>
  </si>
  <si>
    <t xml:space="preserve">La eleccion de farmaco esta motivada por evitar el riesgo de pancreatitis (seguridad)</t>
  </si>
  <si>
    <t xml:space="preserve">C5</t>
  </si>
  <si>
    <t xml:space="preserve">TG 300 + ASCVD + estatina maxeada -&gt; Icosapent Etilo (REDUCE-IT)</t>
  </si>
  <si>
    <t xml:space="preserve">Escenario comun de comorbilidad que dirige la adicion de un farmaco basado en evidencia</t>
  </si>
  <si>
    <t xml:space="preserve">D1</t>
  </si>
  <si>
    <t xml:space="preserve">FIB-4 en paciente &gt;=65 anos, zona 1.3-2.0 -&gt; zona verde (corte edad-ajustado 2.0)</t>
  </si>
  <si>
    <t xml:space="preserve">Prueba el comportamiento de clasificacion en una zona sensible al ajuste por edad (&gt;=65), cercana al umbral</t>
  </si>
  <si>
    <t xml:space="preserve">D2</t>
  </si>
  <si>
    <t xml:space="preserve">BP 132/84 -&gt; misma categoria (Etapa 1) en calculations.js e individualization.js</t>
  </si>
  <si>
    <t xml:space="preserve">Compara explicitamente el resultado de classifyBP en dos modulos distintos para el mismo paciente</t>
  </si>
  <si>
    <t xml:space="preserve">E1</t>
  </si>
  <si>
    <t xml:space="preserve">70a, salud compleja -&gt; meta A1c 8.0% y ayuno 90-150 mg/dL (coherentes entre si)</t>
  </si>
  <si>
    <t xml:space="preserve">A,I</t>
  </si>
  <si>
    <t xml:space="preserve">Paciente tipico geriatrico con comorbilidad compleja; ademas compara coherencia entre getA1cTarget y getGlycemicAndBPGoals para el mismo hecho clinico</t>
  </si>
  <si>
    <t xml:space="preserve">E2</t>
  </si>
  <si>
    <t xml:space="preserve">45a, bajo riesgo/carga de tratamiento -&gt; meta A1c &lt;6.5% (coherente en ambas funciones)</t>
  </si>
  <si>
    <t xml:space="preserve">Paciente tipico joven de bajo riesgo; compara coherencia entre dos funciones que calculan la misma meta</t>
  </si>
  <si>
    <t xml:space="preserve">G1 (regresion)</t>
  </si>
  <si>
    <t xml:space="preserve">IC+ERC+ASCVD+MASLD simultaneos -&gt; UN solo SGLT2i consolidado (no dos)</t>
  </si>
  <si>
    <t xml:space="preserve">C,H</t>
  </si>
  <si>
    <t xml:space="preserve">Combinacion deliberadamente extrema de 4 comorbilidades simultaneas para forzar y verificar la logica de cobertura sin duplicar farmacos de la misma clase</t>
  </si>
  <si>
    <t xml:space="preserve">G2 (regresion)</t>
  </si>
  <si>
    <t xml:space="preserve">eGFR=18 (excluye iSGLT2) + IC+ERC+ASCVD -&gt; maximo UN agente de familia incretina (nunca 2 a la vez)</t>
  </si>
  <si>
    <t xml:space="preserve">Caso derivado explicitamente de "exploracion adversarial" (competing candidates) que combina exclusiones extremas para forzar un bug de doble incretina</t>
  </si>
  <si>
    <t xml:space="preserve">F1</t>
  </si>
  <si>
    <t xml:space="preserve">ASCVD + pancreatitis previa -&gt; NUNCA sugiere GLP-1/GIP RA (contraindicado)</t>
  </si>
  <si>
    <t xml:space="preserve">Prueba una contraindicacion absoluta (pancreatitis) sobre una clase de farmacos</t>
  </si>
  <si>
    <t xml:space="preserve">F2</t>
  </si>
  <si>
    <t xml:space="preserve">ASCVD + antecedente familiar MEN2A -&gt; NUNCA sugiere GLP-1/GIP RA (contraindicado)</t>
  </si>
  <si>
    <t xml:space="preserve">Prueba una contraindicacion por antecedente familiar de riesgo oncologico</t>
  </si>
  <si>
    <t xml:space="preserve">F3</t>
  </si>
  <si>
    <t xml:space="preserve">eGFR calculado (banda 20-25) -&gt; Empagliflozina disponible, Cana/Dapa filtradas por egfrMin</t>
  </si>
  <si>
    <t xml:space="preserve">Valor de eGFR disenado para caer justo entre dos umbrales renales distintos de seguridad de farmacos</t>
  </si>
  <si>
    <t xml:space="preserve">F4</t>
  </si>
  <si>
    <t xml:space="preserve">Acceso economico BAJO -&gt; 1a linea debe ser un farmaco de costo 1</t>
  </si>
  <si>
    <t xml:space="preserve">Paciente tipico con restriccion de acceso economico, escenario plausible y comun</t>
  </si>
  <si>
    <t xml:space="preserve">F5</t>
  </si>
  <si>
    <t xml:space="preserve">Antecedente familiar de hipoglucemia severa -&gt; NUNCA sugiere sulfonilurea</t>
  </si>
  <si>
    <t xml:space="preserve">Contraindicacion relativa de seguridad basada en riesgo de hipoglucemia</t>
  </si>
  <si>
    <t xml:space="preserve">F6 (regresion)</t>
  </si>
  <si>
    <t xml:space="preserve">FIB-4 en tarjeta clasica e Individualizacion deben coincidir siempre</t>
  </si>
  <si>
    <t xml:space="preserve">Compara explicitamente que dos vistas/codigo usen la misma fuente y coincidan en el mismo hecho clinico</t>
  </si>
  <si>
    <t xml:space="preserve">F8</t>
  </si>
  <si>
    <t xml:space="preserve">Angioedema previo con IECA -&gt; NUNCA sugiere ningun IECA (excluye toda la clase)</t>
  </si>
  <si>
    <t xml:space="preserve">Contraindicacion de clase por reaccion adversa grave (angioedema)</t>
  </si>
  <si>
    <t xml:space="preserve">F9</t>
  </si>
  <si>
    <t xml:space="preserve">Tos documentada con IECA -&gt; NUNCA sugiere ningun IECA (excluye toda la clase)</t>
  </si>
  <si>
    <t xml:space="preserve">Contraindicacion de clase por efecto adverso documentado</t>
  </si>
  <si>
    <t xml:space="preserve">F10</t>
  </si>
  <si>
    <t xml:space="preserve">IC sola (sin albuminuria/ERC) -&gt; 1a linea IECA/ARA-II (GDMT), no BCC/tiazida</t>
  </si>
  <si>
    <t xml:space="preserve">Comorbilidad comun (IC) que dirige la seleccion de clase de primera linea segun guia</t>
  </si>
  <si>
    <t xml:space="preserve">F11</t>
  </si>
  <si>
    <t xml:space="preserve">Riesgo lipidico moderado/bajo virgen -&gt; estatina de intensidad MODERADA, no alta</t>
  </si>
  <si>
    <t xml:space="preserve">Paciente tipico sin ASCVD ni datos extremos, prueba de seleccion de intensidad por defecto</t>
  </si>
  <si>
    <t xml:space="preserve">F12</t>
  </si>
  <si>
    <t xml:space="preserve">Reclasificado a riesgo MUY ALTO/ALTO en estatina moderada maxeada -&gt; escala a estatina de ALTA intensidad</t>
  </si>
  <si>
    <t xml:space="preserve">Escenario comun de reclasificacion de riesgo y escalonamiento correcto de clase</t>
  </si>
  <si>
    <t xml:space="preserve">F13</t>
  </si>
  <si>
    <t xml:space="preserve">ERC+T2D+albuminuria en Espironolactona -&gt; Finerenona se recomienda como SUSTITUCION, nunca add-on</t>
  </si>
  <si>
    <t xml:space="preserve">Evita apilar dos antagonistas de mineralocorticoides por riesgo aditivo de hiperkalemia</t>
  </si>
  <si>
    <t xml:space="preserve">F14</t>
  </si>
  <si>
    <t xml:space="preserve">eGFR&lt;30 con metformina ya iniciada -&gt; NUNCA "titular a dosis maxima", debe indicar SUSPENDER</t>
  </si>
  <si>
    <t xml:space="preserve">Contraindicacion absoluta de metformina en falla renal severa (riesgo de acidosis lactica)</t>
  </si>
  <si>
    <t xml:space="preserve">F15</t>
  </si>
  <si>
    <t xml:space="preserve">eGFR banda 30-45 con metformina ya iniciada -&gt; mantener sin escalar, ni titular a maximo ni suspender</t>
  </si>
  <si>
    <t xml:space="preserve">Banda renal intermedia disenada para probar el limite correcto de manejo seguro de metformina</t>
  </si>
  <si>
    <t xml:space="preserve">F16</t>
  </si>
  <si>
    <t xml:space="preserve">Obesidad + Semaglutida ya en uso + pancreatitis nueva -&gt; REVALORAR/SUSPENDER, nunca titular</t>
  </si>
  <si>
    <t xml:space="preserve">Contraindicacion nueva sobreviene sobre un farmaco activo, debe suspenderse</t>
  </si>
  <si>
    <t xml:space="preserve">F17</t>
  </si>
  <si>
    <t xml:space="preserve">ASCVD cubierta por Semaglutida + pancreatitis nueva -&gt; marca revalorar Y agrega reemplazo no-incretina</t>
  </si>
  <si>
    <t xml:space="preserve">Maneja una contraindicacion nueva sin dejar descubierta la indicacion de seguridad cardiovascular</t>
  </si>
  <si>
    <t xml:space="preserve">F18</t>
  </si>
  <si>
    <t xml:space="preserve">Enalapril ya en uso, no maxeado + angioedema nuevo -&gt; REVALORAR/SUSPENDER, nunca titular</t>
  </si>
  <si>
    <t xml:space="preserve">Contraindicacion de clase sobreviniente sobre farmaco activo</t>
  </si>
  <si>
    <t xml:space="preserve">F19</t>
  </si>
  <si>
    <t xml:space="preserve">Fenofibrato ya en uso + eGFR&lt;30 -&gt; catch-all lo marca REVALORAR/SUSPENDER</t>
  </si>
  <si>
    <t xml:space="preserve">Contraindicacion renal sobreviniente sobre farmaco activo, antes pasaba en silencio</t>
  </si>
  <si>
    <t xml:space="preserve">F20</t>
  </si>
  <si>
    <t xml:space="preserve">Doxazosina ya maxeada + IC nueva -&gt; catch-all la marca REVALORAR/SUSPENDER</t>
  </si>
  <si>
    <t xml:space="preserve">Contraindicacion de farmaco activo (alfabloqueante) ante nueva IC</t>
  </si>
  <si>
    <t xml:space="preserve">F21</t>
  </si>
  <si>
    <t xml:space="preserve">Triple terapia RAAS+BCC-DHP+Tiazida maxeada sin meta -&gt; escala a MRA (espironolactona)</t>
  </si>
  <si>
    <t xml:space="preserve">Escenario clinico reconocido (HTA resistente) que la guia trata con un algoritmo definido, sin valores extremos</t>
  </si>
  <si>
    <t xml:space="preserve">F22</t>
  </si>
  <si>
    <t xml:space="preserve">Solo 2 de 3 clases maxeadas -&gt; completa triple terapia con la clase faltante, NO salta a MRA</t>
  </si>
  <si>
    <t xml:space="preserve">Escenario comun de continuacion de tratamiento antihipertensivo</t>
  </si>
  <si>
    <t xml:space="preserve">F7 (regresion)</t>
  </si>
  <si>
    <t xml:space="preserve">Stroke+MASLD+Pancreatitis (excluye todos los GLP-1/GIP) + Obesidad IMC 34 -&gt; fuerza Pioglitazona con advertencia de ganancia de peso</t>
  </si>
  <si>
    <t xml:space="preserve">Combinacion deliberadamente extrema de contraindicaciones, derivada de "exploracion adversarial", que fuerza al motor a una unica opcion residual</t>
  </si>
  <si>
    <t xml:space="preserve">F23</t>
  </si>
  <si>
    <t xml:space="preserve">&gt;=65a muy complejo, PA 135/85 (meta real &lt;140/90) -&gt; NUNCA escala tratamiento</t>
  </si>
  <si>
    <t xml:space="preserve">Paciente geriatrico fragil tipico; prueba la correcta aplicacion de la meta individualizada, sin valor extremo exacto</t>
  </si>
  <si>
    <t xml:space="preserve">F24</t>
  </si>
  <si>
    <t xml:space="preserve">&gt;=65a muy complejo, PA 145/95 (fuera de meta real &lt;140/90) -&gt; SI escala tratamiento</t>
  </si>
  <si>
    <t xml:space="preserve">Mismo perfil de paciente geriatrico fragil tipico, ahora fuera de su meta individualizada</t>
  </si>
  <si>
    <t xml:space="preserve">F25</t>
  </si>
  <si>
    <t xml:space="preserve">T2D virgen + hipoglucemia severa PERSONAL (sin antecedente familiar) -&gt; excluye sulfonilureas</t>
  </si>
  <si>
    <t xml:space="preserve">Contraindicacion relativa de seguridad basada en antecedente personal de hipoglucemia</t>
  </si>
  <si>
    <t xml:space="preserve">F26</t>
  </si>
  <si>
    <t xml:space="preserve">&gt;=65a muy complejo, riesgo ALTO, sin ASCVD, sin ERC severa -&gt; de-intensifica a estatina moderada</t>
  </si>
  <si>
    <t xml:space="preserve">Paciente geriatrico fragil, escenario clinico reconocido de decision compartida por fragilidad, sin datos extremos artificiales</t>
  </si>
  <si>
    <t xml:space="preserve">F27</t>
  </si>
  <si>
    <t xml:space="preserve">&gt;=65a muy complejo CON ASCVD establecida -&gt; NO de-intensifica, mantiene intensidad alta</t>
  </si>
  <si>
    <t xml:space="preserve">Mismo perfil de paciente fragil tipico, con indicacion clara que mantiene la intensidad alta</t>
  </si>
  <si>
    <t xml:space="preserve">F28</t>
  </si>
  <si>
    <t xml:space="preserve">&gt;=65a muy complejo + ERC severa (eGFR&lt;30) -&gt; NO de-intensifica, mantiene intensidad alta</t>
  </si>
  <si>
    <t xml:space="preserve">Paciente fragil tipico con comorbilidad renal que mantiene indicacion de intensidad alta</t>
  </si>
  <si>
    <t xml:space="preserve">B1 (limites exactos, A1c)</t>
  </si>
  <si>
    <t xml:space="preserve">A1c=8.0 EXACTO (no &gt;8), edad fuera de 40-75 -&gt; riesgo MODERADO, no ALTO</t>
  </si>
  <si>
    <t xml:space="preserve">Valor exactamente en el corte del umbral A1c&gt;8</t>
  </si>
  <si>
    <t xml:space="preserve">B2 (limites exactos, A1c)</t>
  </si>
  <si>
    <t xml:space="preserve">A1c=8.1 (&gt;8), edad fuera de 40-75 -&gt; riesgo ALTO</t>
  </si>
  <si>
    <t xml:space="preserve">Valor justo por encima del corte del umbral, par de control del caso anterior</t>
  </si>
  <si>
    <t xml:space="preserve">B3 (limites exactos, eGFR lipidos)</t>
  </si>
  <si>
    <t xml:space="preserve">eGFR=30 EXACTO (no &lt;30) -&gt; riesgo ALTO (no MUY ALTO) y SI de-intensifica</t>
  </si>
  <si>
    <t xml:space="preserve">Valor exactamente en el corte eGFR=30 que separa dos categorias de riesgo/manejo</t>
  </si>
  <si>
    <t xml:space="preserve">B4 (limites exactos, eGFR lipidos)</t>
  </si>
  <si>
    <t xml:space="preserve">eGFR=29 (&lt;30) -&gt; riesgo MUY ALTO y NO de-intensifica</t>
  </si>
  <si>
    <t xml:space="preserve">Valor justo por debajo del corte eGFR=30, par de control</t>
  </si>
  <si>
    <t xml:space="preserve">B5 (limites exactos, edad PA)</t>
  </si>
  <si>
    <t xml:space="preserve">Edad=65 EXACTO + muyComplejo, PA 135/85 -&gt; meta individualizada ya alcanzada, no escala</t>
  </si>
  <si>
    <t xml:space="preserve">Valor exactamente en el corte de edad=65 que activa la meta individualizada de PA</t>
  </si>
  <si>
    <t xml:space="preserve">B6 (limites exactos, edad PA)</t>
  </si>
  <si>
    <t xml:space="preserve">Edad=64 (&lt;65) + muyComplejo, misma PA -&gt; meta por defecto no alcanzada, SI escala</t>
  </si>
  <si>
    <t xml:space="preserve">Valor justo por debajo del corte de edad=65, par de control</t>
  </si>
  <si>
    <t xml:space="preserve">B7 (limites exactos, edad estatina)</t>
  </si>
  <si>
    <t xml:space="preserve">Edad=65 EXACTO + muyComplejo + riesgo ALTO -&gt; SI de-intensifica</t>
  </si>
  <si>
    <t xml:space="preserve">Valor exactamente en el corte de edad=65 aplicado al gate de de-intensificacion de estatina</t>
  </si>
  <si>
    <t xml:space="preserve">B8 (limites exactos, edad estatina)</t>
  </si>
  <si>
    <t xml:space="preserve">Edad=64 (&lt;65), mismo perfil -&gt; NO de-intensifica</t>
  </si>
  <si>
    <t xml:space="preserve">B9 (limites exactos, eGFR metformina)</t>
  </si>
  <si>
    <t xml:space="preserve">eGFR=30 EXACTO (no &lt;30) -&gt; banda 30-45, mantener sin escalar, NO suspender</t>
  </si>
  <si>
    <t xml:space="preserve">Valor exactamente en el corte eGFR=30 de seguridad renal de metformina</t>
  </si>
  <si>
    <t xml:space="preserve">B10 (limites exactos, eGFR metformina)</t>
  </si>
  <si>
    <t xml:space="preserve">eGFR=29 (&lt;30) -&gt; SUSPENDER (contraindicacion absoluta)</t>
  </si>
  <si>
    <t xml:space="preserve">Valor justo por debajo del corte de seguridad renal de metformina, contraindicacion absoluta</t>
  </si>
  <si>
    <t xml:space="preserve">P1</t>
  </si>
  <si>
    <t xml:space="preserve">PREVENT-ASCVD 2.0% (bajo) + LDL 120 -&gt; estatina NO indicada</t>
  </si>
  <si>
    <t xml:space="preserve">Paciente tipico de bajo riesgo con dato de score capturado, sin valores extremos</t>
  </si>
  <si>
    <t xml:space="preserve">P2</t>
  </si>
  <si>
    <t xml:space="preserve">PREVENT-ASCVD 2.0% (bajo) + LDL 170 (160-189) -&gt; SI considerar estatina moderada</t>
  </si>
  <si>
    <t xml:space="preserve">Excepcion de guia dentro de un escenario clinico plausible y comun (LDL elevado en riesgo bajo)</t>
  </si>
  <si>
    <t xml:space="preserve">P3</t>
  </si>
  <si>
    <t xml:space="preserve">PREVENT-ASCVD 4.0% (limitrofe) -&gt; estatina MODERADA, meta LDL&lt;100</t>
  </si>
  <si>
    <t xml:space="preserve">Paciente tipico de riesgo intermedio-bajo con dato de score capturado</t>
  </si>
  <si>
    <t xml:space="preserve">P4</t>
  </si>
  <si>
    <t xml:space="preserve">PREVENT-ASCVD 7.0% (intermedio) -&gt; al menos estatina moderada, meta LDL&lt;100</t>
  </si>
  <si>
    <t xml:space="preserve">Paciente tipico de riesgo intermedio con dato de score capturado</t>
  </si>
  <si>
    <t xml:space="preserve">P5</t>
  </si>
  <si>
    <t xml:space="preserve">PREVENT-ASCVD 15% (alto) -&gt; estatina ALTA intensidad, meta LDL&lt;70, reduccion &gt;=50%</t>
  </si>
  <si>
    <t xml:space="preserve">Paciente tipico de riesgo alto con dato de score capturado, indicacion estandar de guia</t>
  </si>
  <si>
    <t xml:space="preserve">P6</t>
  </si>
  <si>
    <t xml:space="preserve">ASCVD establecida + PREVENT-ASCVD 1.0% capturado -&gt; indicacion automatica MUY ALTO, el % bajo NO lo anula</t>
  </si>
  <si>
    <t xml:space="preserve">F,G</t>
  </si>
  <si>
    <t xml:space="preserve">Dos datos del mismo paciente (diagnostico ASCVD vs. score de riesgo calculado bajo) son incompatibles, y ademas enfrenta dos vias de clasificacion guia-especificas cuya prioridad debe resolverse</t>
  </si>
  <si>
    <t xml:space="preserve">H1</t>
  </si>
  <si>
    <t xml:space="preserve">Obeso con pool antidiabetico de peso totalmente excluido (pancreatitis + eGFR&lt;20) -&gt; buildObesityPlan asigna un farmaco dedicado</t>
  </si>
  <si>
    <t xml:space="preserve">Combinacion deliberadamente extrema de exclusiones (contraindicacion + falla renal severa) disenada para forzar el caso limite que motivo el modulo</t>
  </si>
  <si>
    <t xml:space="preserve">H2</t>
  </si>
  <si>
    <t xml:space="preserve">Obeso diabetico sin comorbilidad de organo -&gt; buildObesityPlan NO duplica el pick del fallback antidiabetico</t>
  </si>
  <si>
    <t xml:space="preserve">Paciente tipico; ademas compara que dos modulos de planificacion (antidiabetico y obesidad) no dupliquen la misma recomendacion</t>
  </si>
  <si>
    <t xml:space="preserve">H3</t>
  </si>
  <si>
    <t xml:space="preserve">Obeso diabetico con ERC -&gt; buildObesityPlan SI agrega farmacoterapia dedicada</t>
  </si>
  <si>
    <t xml:space="preserve">Paciente tipico con comorbilidad renal comun que dirige la eleccion antidiabetica, dejando el objetivo de peso sin cubrir</t>
  </si>
  <si>
    <t xml:space="preserve">H4</t>
  </si>
  <si>
    <t xml:space="preserve">Semaglutida SC maxeada (dosis diabetes) + sigue obeso -&gt; escala a Semaglutida 2.4 mg (dosis obesidad), misma molecula</t>
  </si>
  <si>
    <t xml:space="preserve">Escenario comun de escalonamiento de dosis de la misma molecula entre dos indicaciones</t>
  </si>
  <si>
    <t xml:space="preserve">H5</t>
  </si>
  <si>
    <t xml:space="preserve">Semaglutida SC ya en uso pero NO maxeada -&gt; buildObesityPlan no interviene</t>
  </si>
  <si>
    <t xml:space="preserve">Escenario tipico de continuacion/titulacion ya en curso por otro modulo</t>
  </si>
  <si>
    <t xml:space="preserve">H6</t>
  </si>
  <si>
    <t xml:space="preserve">Orlistat ya en uso (no maxeado) -&gt; buildObesityPlan lo titula, buildAntidiabeticPlan NO agrega un segundo agente de peso</t>
  </si>
  <si>
    <t xml:space="preserve">Paciente tipico; compara la no-duplicacion entre dos modulos que podrian competir por el mismo objetivo</t>
  </si>
  <si>
    <t xml:space="preserve">H7</t>
  </si>
  <si>
    <t xml:space="preserve">ERC+HTA no controlada+MEN2A familiar -&gt; excluye incretinas Y estimulantes, cae en Orlistat</t>
  </si>
  <si>
    <t xml:space="preserve">Combinacion deliberada de tres contraindicaciones distintas simultaneas para forzar el unico candidato seguro</t>
  </si>
  <si>
    <t xml:space="preserve">H8</t>
  </si>
  <si>
    <t xml:space="preserve">Paciente sin criterio de obesidad -&gt; buildObesityPlan no asigna nada</t>
  </si>
  <si>
    <t xml:space="preserve">Control negativo con paciente tipico sin obesidad</t>
  </si>
  <si>
    <t xml:space="preserve">Q1</t>
  </si>
  <si>
    <t xml:space="preserve">Gemfibrozilo + Atorvastatina activos -&gt; interaccion MAYOR detectada (rabdomiolisis)</t>
  </si>
  <si>
    <t xml:space="preserve">Interaccion farmaco-farmaco de severidad mayor, riesgo de rabdomiolisis</t>
  </si>
  <si>
    <t xml:space="preserve">Q2</t>
  </si>
  <si>
    <t xml:space="preserve">Verapamilo + Simvastatina activos -&gt; interaccion MAYOR detectada (CYP3A4, miopatia)</t>
  </si>
  <si>
    <t xml:space="preserve">Interaccion farmaco-farmaco mediada por CYP3A4, riesgo de miopatia</t>
  </si>
  <si>
    <t xml:space="preserve">Q3</t>
  </si>
  <si>
    <t xml:space="preserve">Losartan + Espironolactona activos -&gt; interaccion a VIGILAR (hiperkalemia), NO "mayor"</t>
  </si>
  <si>
    <t xml:space="preserve">Prueba la calibracion correcta de severidad de una interaccion de seguridad frecuente e intencional</t>
  </si>
  <si>
    <t xml:space="preserve">Q4</t>
  </si>
  <si>
    <t xml:space="preserve">Glimepirida + Carvedilol activos -&gt; interaccion a VIGILAR (hipoglucemia enmascarada)</t>
  </si>
  <si>
    <t xml:space="preserve">Interaccion de seguridad por enmascaramiento de sintomas de hipoglucemia</t>
  </si>
  <si>
    <t xml:space="preserve">Q5</t>
  </si>
  <si>
    <t xml:space="preserve">Atorvastatina sola, sin pareja de interaccion -&gt; 0 advertencias (control negativo)</t>
  </si>
  <si>
    <t xml:space="preserve">Paciente tipico sin farmacos en interaccion, control negativo del sistema de alertas</t>
  </si>
  <si>
    <t xml:space="preserve">Q6</t>
  </si>
  <si>
    <t xml:space="preserve">Gemfibrozilo activo + motor agrega estatina NUEVA por LDL&gt;=190 -&gt; interaccion SI se detecta</t>
  </si>
  <si>
    <t xml:space="preserve">Verifica que el chequeo de seguridad cubra tambien recomendaciones nuevas del motor, no solo farmacos ya activos</t>
  </si>
  <si>
    <t xml:space="preserve">R1</t>
  </si>
  <si>
    <t xml:space="preserve">DM2 diagnosticado + A1c 6.0% controlada -&gt; SIGUE calificando indicacion automatica MODERADA (fix tipoDM)</t>
  </si>
  <si>
    <t xml:space="preserve">Paciente tipico diabetico bien controlado, escenario clinico comun y plausible</t>
  </si>
  <si>
    <t xml:space="preserve">R2</t>
  </si>
  <si>
    <t xml:space="preserve">Sin tipoDM + A1c 6.0% (bajo el respaldo 6.5%) -&gt; NO indicacion automatica por diabetes, cae a simplificado</t>
  </si>
  <si>
    <t xml:space="preserve">Prueba el comportamiento cuando falta el dato de diagnostico (tipoDM) explicito</t>
  </si>
  <si>
    <t xml:space="preserve">R3</t>
  </si>
  <si>
    <t xml:space="preserve">Prediabetes (no diabetes) + A1c 6.0% -&gt; NO dispara la indicacion automatica de diabetes</t>
  </si>
  <si>
    <t xml:space="preserve">Prueba el limite categorico entre "prediabetes" y "diabetes", valores adyacentes que no deben confundirse</t>
  </si>
  <si>
    <t xml:space="preserve">R4</t>
  </si>
  <si>
    <t xml:space="preserve">DM2 diagnosticado y controlado + HTA Etapa 1, sin PREVENT-CVD -&gt; riesgo confirmado por diabetes conocida, trata de inmediato</t>
  </si>
  <si>
    <t xml:space="preserve">Depende de que el dato PREVENT-CVD no fue capturado, compensado por el diagnostico ya conocido</t>
  </si>
  <si>
    <t xml:space="preserve">R5</t>
  </si>
  <si>
    <t xml:space="preserve">Sin tipoDM + A1c 6.0% -&gt; comportamiento preexistente sin cambios, ensayo de estilo de vida</t>
  </si>
  <si>
    <t xml:space="preserve">edge-cases.test.mjs</t>
  </si>
  <si>
    <t xml:space="preserve">CAPA0-1</t>
  </si>
  <si>
    <t xml:space="preserve">Creatinina &gt;10 -&gt; guardrail activo, items vacíos</t>
  </si>
  <si>
    <t xml:space="preserve">Valor fisiológico extremo (creatinina 11) que activa el guardrail de seguridad, no un paciente típico.</t>
  </si>
  <si>
    <t xml:space="preserve">CAPA0-2</t>
  </si>
  <si>
    <t xml:space="preserve">K+ &gt;6.5 -&gt; guardrail activo</t>
  </si>
  <si>
    <t xml:space="preserve">Potasio extremo (6.8) diseñado para disparar el guardrail de hiperkalemia severa.</t>
  </si>
  <si>
    <t xml:space="preserve">CAPA0-3</t>
  </si>
  <si>
    <t xml:space="preserve">PA ≥180 sistólica -&gt; guardrail activo (Crisis Hipertensiva)</t>
  </si>
  <si>
    <t xml:space="preserve">PA sistólica extrema que activa el guardrail de crisis hipertensiva.</t>
  </si>
  <si>
    <t xml:space="preserve">CAPA0-4</t>
  </si>
  <si>
    <t xml:space="preserve">PA ≥120 diastólica -&gt; guardrail activo</t>
  </si>
  <si>
    <t xml:space="preserve">PA diastólica extrema que activa el guardrail de crisis hipertensiva.</t>
  </si>
  <si>
    <t xml:space="preserve">CAPA0-5</t>
  </si>
  <si>
    <t xml:space="preserve">Glucosa &gt;600 -&gt; guardrail activo (rango EHH)</t>
  </si>
  <si>
    <t xml:space="preserve">Glucosa extrema en rango de estado hiperosmolar que activa el guardrail.</t>
  </si>
  <si>
    <t xml:space="preserve">CAPA0-6</t>
  </si>
  <si>
    <t xml:space="preserve">Glucosa &lt;40 -&gt; guardrail activo (hipoglucemia severa)</t>
  </si>
  <si>
    <t xml:space="preserve">Glucosa extrema en rango de hipoglucemia severa que activa el guardrail.</t>
  </si>
  <si>
    <t xml:space="preserve">CAPA0-7</t>
  </si>
  <si>
    <t xml:space="preserve">Valores normales -&gt; guardrail NO activo</t>
  </si>
  <si>
    <t xml:space="preserve">Paciente con signos vitales y labs normales, control negativo del guardrail.</t>
  </si>
  <si>
    <t xml:space="preserve">Caso 38a</t>
  </si>
  <si>
    <t xml:space="preserve">Caso 38: adulto mayor + A1c en meta + SU -&gt; sugiere desescalar</t>
  </si>
  <si>
    <t xml:space="preserve">A,H</t>
  </si>
  <si>
    <t xml:space="preserve">Paciente geriátrico plausible con riesgo de sobretratamiento/hipoglucemia por sulfonilurea en meta.</t>
  </si>
  <si>
    <t xml:space="preserve">Caso 38b</t>
  </si>
  <si>
    <t xml:space="preserve">Caso 38: &lt;65 años -&gt; NO se activa (criterio exclusivo Tabla 13.2)</t>
  </si>
  <si>
    <t xml:space="preserve">Control que verifica que la regla de deprescripción geriátrica no se aplique fuera del criterio de edad.</t>
  </si>
  <si>
    <t xml:space="preserve">Caso 39a</t>
  </si>
  <si>
    <t xml:space="preserve">Caso 39: ortostatismo + PA en meta + 2 antihipertensivos -&gt; bloquea titulación, sugiere simplificar</t>
  </si>
  <si>
    <t xml:space="preserve">Paciente geriátrico plausible con riesgo de caídas por ortostatismo al titular antihipertensivos.</t>
  </si>
  <si>
    <t xml:space="preserve">Caso 39b</t>
  </si>
  <si>
    <t xml:space="preserve">Caso 39: sin síntomas -&gt; titula normalmente (Enalapril no maxeado)</t>
  </si>
  <si>
    <t xml:space="preserve">Control que confirma que sin ortostatismo la titulación continúa con normalidad.</t>
  </si>
  <si>
    <t xml:space="preserve">Caso 40a</t>
  </si>
  <si>
    <t xml:space="preserve">Caso 40: iSGLT2 + cirugía en 2 días -&gt; SUSPENDER (CAD-e)</t>
  </si>
  <si>
    <t xml:space="preserve">Escenario perioperatorio real con riesgo de cetoacidosis euglucémica por iSGLT2.</t>
  </si>
  <si>
    <t xml:space="preserve">Caso 40b</t>
  </si>
  <si>
    <t xml:space="preserve">Caso 40: cirugía en 10 días -&gt; NO se activa (fuera de ventana de 4 días)</t>
  </si>
  <si>
    <t xml:space="preserve">Control que confirma que fuera de la ventana perioperatoria de riesgo no se suspende el fármaco.</t>
  </si>
  <si>
    <t xml:space="preserve">Caso 41</t>
  </si>
  <si>
    <t xml:space="preserve">Caso 41: GLP-1 semanal + procedimiento en 3 días -&gt; SUSPENDER (aspiración)</t>
  </si>
  <si>
    <t xml:space="preserve">Escenario perioperatorio real con riesgo de aspiración por retraso de vaciamiento gástrico de GLP-1.</t>
  </si>
  <si>
    <t xml:space="preserve">Caso 40/41</t>
  </si>
  <si>
    <t xml:space="preserve">Caso 40/41: no queda 'Titular' contradictorio junto a la suspensión</t>
  </si>
  <si>
    <t xml:space="preserve">H,I</t>
  </si>
  <si>
    <t xml:space="preserve">Verifica que el plan no genere instrucciones contradictorias (titular y suspender) para el mismo fármaco.</t>
  </si>
  <si>
    <t xml:space="preserve">Caso 42a</t>
  </si>
  <si>
    <t xml:space="preserve">Caso 42: K+ 5.6 + IECA+MRA (PA controlada, sin gate de PA) -&gt; sugiere quelante, NO suspende RAAS</t>
  </si>
  <si>
    <t xml:space="preserve">Potasio en zona gris entre normal y guardrail severo, requiere manejo distinto (quelante) sin suspender RAAS.</t>
  </si>
  <si>
    <t xml:space="preserve">Caso 42b</t>
  </si>
  <si>
    <t xml:space="preserve">Caso 42: K+ &gt;6.5 -&gt; va a guardrail, no al aviso de quelante</t>
  </si>
  <si>
    <t xml:space="preserve">Verifica que al cruzar el umbral de 6.5 el flujo se enrute al guardrail y no a la zona gris.</t>
  </si>
  <si>
    <t xml:space="preserve">Caso 43a</t>
  </si>
  <si>
    <t xml:space="preserve">Caso 43: anemia significativa (Hb 8.5) -&gt; A1c marcada como no confiable</t>
  </si>
  <si>
    <t xml:space="preserve">Hemoglobina baja plausible que invalida la confiabilidad clínica del A1c reportado.</t>
  </si>
  <si>
    <t xml:space="preserve">Caso 43b</t>
  </si>
  <si>
    <t xml:space="preserve">Caso 43: Hb/eGFR normales -&gt; NO se activa</t>
  </si>
  <si>
    <t xml:space="preserve">Control con valores normales, sin aviso de A1c no confiable.</t>
  </si>
  <si>
    <t xml:space="preserve">Caso 44</t>
  </si>
  <si>
    <t xml:space="preserve">Caso 44/57: paciente &lt;65a con A1c muy por debajo de meta + SU -&gt; desescalar prioritario</t>
  </si>
  <si>
    <t xml:space="preserve">A1c extremadamente bajo (5.0%) con sulfonilurea a dosis máxima, riesgo alto de hipoglucemia.</t>
  </si>
  <si>
    <t xml:space="preserve">Caso 44-elderly</t>
  </si>
  <si>
    <t xml:space="preserve">Caso 44 en adulto mayor: prioriza tarjeta 'severa' sobre la 'leve' del Caso 38 (sin duplicar)</t>
  </si>
  <si>
    <t xml:space="preserve">Verifica consolidación correcta y sin duplicidad entre dos alertas de sobretratamiento que podrían coexistir.</t>
  </si>
  <si>
    <t xml:space="preserve">Caso 45a</t>
  </si>
  <si>
    <t xml:space="preserve">Caso 45: AINE + IECA + diurético de asa -&gt; Tríada Mortal (riesgo alto)</t>
  </si>
  <si>
    <t xml:space="preserve">Interacción clásica de alto riesgo (triple whammy) de lesión renal aguda.</t>
  </si>
  <si>
    <t xml:space="preserve">Caso 45b</t>
  </si>
  <si>
    <t xml:space="preserve">Caso 45: AINE + IECA sin diurético -&gt; riesgo moderado (2 de 3 componentes)</t>
  </si>
  <si>
    <t xml:space="preserve">Combinación parcial de la tríada con riesgo renal graduado a moderado.</t>
  </si>
  <si>
    <t xml:space="preserve">Caso 45c</t>
  </si>
  <si>
    <t xml:space="preserve">Caso 45: sin AINE reciente -&gt; no se activa pese a RAAS+diurético</t>
  </si>
  <si>
    <t xml:space="preserve">Control que confirma que sin AINE no se dispara la alerta de tríada renal.</t>
  </si>
  <si>
    <t xml:space="preserve">Caso 46a</t>
  </si>
  <si>
    <t xml:space="preserve">Caso 46: corticoide ≥20mg/día -&gt; aviso de riesgo ALTO de hiperglucemia/HTA</t>
  </si>
  <si>
    <t xml:space="preserve">Dosis alta de corticoide con riesgo de seguridad de hiperglucemia/HTA.</t>
  </si>
  <si>
    <t xml:space="preserve">Caso 46b</t>
  </si>
  <si>
    <t xml:space="preserve">Caso 46: corticoide dosis baja -&gt; aviso de menor urgencia</t>
  </si>
  <si>
    <t xml:space="preserve">Dosis baja de corticoide, control con nivel de alerta distinto (menor urgencia).</t>
  </si>
  <si>
    <t xml:space="preserve">Caso 47a</t>
  </si>
  <si>
    <t xml:space="preserve">Caso 47: AINE + ERC de base (sin RAAS/diurético) -&gt; advierte nefrotoxicidad independiente</t>
  </si>
  <si>
    <t xml:space="preserve">Paciente con ERC de base y AINE, riesgo de nefrotoxicidad independiente de la tríada.</t>
  </si>
  <si>
    <t xml:space="preserve">Caso 47b</t>
  </si>
  <si>
    <t xml:space="preserve">Caso 47+45 combinados: no duplica -&gt; solo la tarjeta más específica (Caso 45)</t>
  </si>
  <si>
    <t xml:space="preserve">Verifica que al solaparse dos reglas de riesgo renal no se dupliquen alertas, prevalece la más específica.</t>
  </si>
  <si>
    <t xml:space="preserve">Caso 50</t>
  </si>
  <si>
    <t xml:space="preserve">Caso 50: obesidad + antipsicótico alto riesgo -&gt; prioriza Tirzepatida dosis-obesidad</t>
  </si>
  <si>
    <t xml:space="preserve">Paciente psiquiátrico plausible con obesidad inducida por antipsicótico, selección óptima de fármaco.</t>
  </si>
  <si>
    <t xml:space="preserve">Caso 51a</t>
  </si>
  <si>
    <t xml:space="preserve">Caso 51: litio + necesidad de RAAS (ERC) -&gt; bloquea IECA/ARA-II, usa BCC-DHP</t>
  </si>
  <si>
    <t xml:space="preserve">Interacción de seguridad clásica: litio + IECA/ARA-II eleva litemia, se evita RAAS.</t>
  </si>
  <si>
    <t xml:space="preserve">Caso 51b</t>
  </si>
  <si>
    <t xml:space="preserve">Caso 51: no ofrece 2 BCC-DHP como pseudo-combinación (fix del hueco Etapa 2)</t>
  </si>
  <si>
    <t xml:space="preserve">Evita una sustitución inadecuada (dos BCC del mismo grupo) tras bloquear RAAS por litio.</t>
  </si>
  <si>
    <t xml:space="preserve">Caso 51c</t>
  </si>
  <si>
    <t xml:space="preserve">Caso 51: Losartan YA prescrito + litio nuevo -&gt; REVALORAR/SUSPENDER</t>
  </si>
  <si>
    <t xml:space="preserve">Alerta de seguridad al introducir litio en paciente que ya toma un ARA-II.</t>
  </si>
  <si>
    <t xml:space="preserve">Caso 54a</t>
  </si>
  <si>
    <t xml:space="preserve">Caso 54: riesgo alto + TARV IP -&gt; evita Atorvastatina, prefiere Rosuvastatina</t>
  </si>
  <si>
    <t xml:space="preserve">Interacción de seguridad entre inhibidor de proteasa (TARV) y estatina metabolizada por CYP3A4.</t>
  </si>
  <si>
    <t xml:space="preserve">Caso 54b</t>
  </si>
  <si>
    <t xml:space="preserve">Control: mismo perfil sin TARV -&gt; puede elegir Atorvastatina normalmente</t>
  </si>
  <si>
    <t xml:space="preserve">Control sin TARV que confirma que la restricción de estatina no se aplica sin la interacción.</t>
  </si>
  <si>
    <t xml:space="preserve">Caso 54c</t>
  </si>
  <si>
    <t xml:space="preserve">Caso 54: Simvastatina ya prescrita + TARV IP -&gt; REVALORAR/SUSPENDER (bloqueo absoluto)</t>
  </si>
  <si>
    <t xml:space="preserve">Alerta de seguridad al detectar TARV IP en paciente que ya toma simvastatina.</t>
  </si>
  <si>
    <t xml:space="preserve">Caso 56a</t>
  </si>
  <si>
    <t xml:space="preserve">Caso 56: enfermedad aguda + Metformina/iSGLT2/IECA -&gt; sugiere suspensión temporal</t>
  </si>
  <si>
    <t xml:space="preserve">Reglas de "sick day" para suspender temporalmente fármacos de riesgo durante enfermedad aguda.</t>
  </si>
  <si>
    <t xml:space="preserve">Caso 56b</t>
  </si>
  <si>
    <t xml:space="preserve">Caso 56: sin enfermedad aguda -&gt; NO se activa</t>
  </si>
  <si>
    <t xml:space="preserve">Control sin enfermedad aguda, confirma que la regla de sick day no se dispara.</t>
  </si>
  <si>
    <t xml:space="preserve">Caso 56c</t>
  </si>
  <si>
    <t xml:space="preserve">Caso 56: enfermedad aguda sin fármacos relevantes -&gt; NO se activa</t>
  </si>
  <si>
    <t xml:space="preserve">Control con enfermedad aguda pero sin fármacos de riesgo, no se dispara la alerta.</t>
  </si>
  <si>
    <t xml:space="preserve">Gobernanza-1</t>
  </si>
  <si>
    <t xml:space="preserve">Gobernanza: virgen SIN creatinina -&gt; Metformina se sigue recomendando (no bloquea)</t>
  </si>
  <si>
    <t xml:space="preserve">D,H</t>
  </si>
  <si>
    <t xml:space="preserve">Falta el dato de creatinina (eGFR no calculable); decisión de gobernanza sobre seguridad de metformina.</t>
  </si>
  <si>
    <t xml:space="preserve">Gobernanza-2</t>
  </si>
  <si>
    <t xml:space="preserve">Gobernanza: virgen SIN creatinina -&gt; Metformina lleva aviso de seguridad renal no verificada</t>
  </si>
  <si>
    <t xml:space="preserve">Dato faltante (creatinina) debe generar aviso explícito de seguridad renal no verificada.</t>
  </si>
  <si>
    <t xml:space="preserve">Gobernanza-3</t>
  </si>
  <si>
    <t xml:space="preserve">Gobernanza: virgen CON creatinina normal -&gt; Metformina SIN aviso (eGFR conocido)</t>
  </si>
  <si>
    <t xml:space="preserve">Control con dato presente, confirma que el aviso de dato faltante no aparece cuando eGFR sí se conoce.</t>
  </si>
  <si>
    <t xml:space="preserve">Gobernanza-4</t>
  </si>
  <si>
    <t xml:space="preserve">Gobernanza: eGFR real &lt;30 (calculado, no faltante) -&gt; Metformina SIGUE sin recomendarse</t>
  </si>
  <si>
    <t xml:space="preserve">Control que distingue eGFR bajo real (calculado) de dato faltante; el bloqueo por seguridad debe mantenerse.</t>
  </si>
  <si>
    <t xml:space="preserve">multimorbid-cases.test.mjs</t>
  </si>
  <si>
    <t xml:space="preserve">Caso 1</t>
  </si>
  <si>
    <t xml:space="preserve">el motor no truena con múltiples comorbilidades simultáneas (sin excepción)</t>
  </si>
  <si>
    <t xml:space="preserve">Paciente DM2 mal controlada + obesidad + 1 comorbilidad, combinación plausible y realista.</t>
  </si>
  <si>
    <t xml:space="preserve">ningún subgrupo farmacológico se repite dentro de la misma categoría (sin redundancia tipo Caso 4)</t>
  </si>
  <si>
    <t xml:space="preserve">Compara el plan consolidado contra sí mismo para verificar que no haya redundancia de subgrupo farmacológico.</t>
  </si>
  <si>
    <t xml:space="preserve">Metformina siempre presente como base de terapia (salvo eGFR&lt;30)</t>
  </si>
  <si>
    <t xml:space="preserve">Compara la presencia de metformina en el plan contra el eGFR calculado por separado para la misma regla clínica.</t>
  </si>
  <si>
    <t xml:space="preserve">Caso 2</t>
  </si>
  <si>
    <t xml:space="preserve">Paciente DM2 mal controlada + obesidad + 2 comorbilidades + HTA Grado I, combinación plausible.</t>
  </si>
  <si>
    <t xml:space="preserve">Caso 3</t>
  </si>
  <si>
    <t xml:space="preserve">Paciente DM2 mal controlada + obesidad + 3 comorbilidades (incluye ERC) + HTA Grado II, complejo pero plausible.</t>
  </si>
  <si>
    <t xml:space="preserve">Caso 4</t>
  </si>
  <si>
    <t xml:space="preserve">Paciente etiquetado explícitamente "atípico/outlier" con &gt;3 comorbilidades, diseñado para estresar la lógica de consolidación.</t>
  </si>
  <si>
    <t xml:space="preserve">Verifica consistencia interna del plan consolidado, evitando el bug de duplicidad hallado originalmente en este caso.</t>
  </si>
  <si>
    <t xml:space="preserve">A1c 10.5% -&gt; dispara nota de insulina basal simultánea</t>
  </si>
  <si>
    <t xml:space="preserve">A1c extremadamente alto que exige indicación de seguridad (insulina basal) según guía.</t>
  </si>
  <si>
    <t xml:space="preserve">riesgo lipídico MUY ALTO (ASCVD) -&gt; meta LDL &lt;55</t>
  </si>
  <si>
    <t xml:space="preserve">Meta de LDL de prevención secundaria en ASCVD establecida, decisión de seguridad cardiovascular.</t>
  </si>
  <si>
    <t xml:space="preserve">boundary-alerts.test.mjs</t>
  </si>
  <si>
    <t xml:space="preserve">eGFR_30</t>
  </si>
  <si>
    <t xml:space="preserve">eGFR≈33 (cr=2.2) -&gt; dispara zona egfr_30</t>
  </si>
  <si>
    <t xml:space="preserve">Valor de eGFR justo en la banda límite de 30, dispara reevaluación de prescripción renal.</t>
  </si>
  <si>
    <t xml:space="preserve">eGFR_30-excl</t>
  </si>
  <si>
    <t xml:space="preserve">eGFR≈33 -&gt; NO dispara egfr_45/60/25 a la vez</t>
  </si>
  <si>
    <t xml:space="preserve">B,I</t>
  </si>
  <si>
    <t xml:space="preserve">Verifica que solo se active una banda de eGFR a la vez (exclusividad mutua de las zonas).</t>
  </si>
  <si>
    <t xml:space="preserve">eGFR_45</t>
  </si>
  <si>
    <t xml:space="preserve">eGFR≈43 (cr=1.8) -&gt; dispara zona egfr_45</t>
  </si>
  <si>
    <t xml:space="preserve">Valor de eGFR en la banda límite de 45.</t>
  </si>
  <si>
    <t xml:space="preserve">eGFR_60</t>
  </si>
  <si>
    <t xml:space="preserve">eGFR≈63 (cr=1.3) -&gt; dispara zona egfr_60</t>
  </si>
  <si>
    <t xml:space="preserve">Valor de eGFR en la banda límite de 60.</t>
  </si>
  <si>
    <t xml:space="preserve">eGFR_25</t>
  </si>
  <si>
    <t xml:space="preserve">eGFR≈26 (cr=2.7) -&gt; dispara zona egfr_25</t>
  </si>
  <si>
    <t xml:space="preserve">Valor de eGFR en la banda límite de 25.</t>
  </si>
  <si>
    <t xml:space="preserve">eGFR_normal</t>
  </si>
  <si>
    <t xml:space="preserve">eGFR≈86 (control, función renal normal) -&gt; ninguna zona eGFR activa</t>
  </si>
  <si>
    <t xml:space="preserve">Paciente con función renal normal, control negativo.</t>
  </si>
  <si>
    <t xml:space="preserve">eGFR_terminal</t>
  </si>
  <si>
    <t xml:space="preserve">eGFR≈16 (ERC terminal, muy por debajo de toda banda) -&gt; ninguna zona eGFR activa</t>
  </si>
  <si>
    <t xml:space="preserve">Valor extremo por debajo de todas las bandas definidas, verifica el límite inferior de cobertura.</t>
  </si>
  <si>
    <t xml:space="preserve">sin_datos</t>
  </si>
  <si>
    <t xml:space="preserve">Sin datos -&gt; evaluateBoundaryZones no truena y regresa lista vacía</t>
  </si>
  <si>
    <t xml:space="preserve">Objeto de paciente vacío, ausencia total de datos de entrada.</t>
  </si>
  <si>
    <t xml:space="preserve">ldl_190</t>
  </si>
  <si>
    <t xml:space="preserve">LDL 185 -&gt; dispara zona ldl_190</t>
  </si>
  <si>
    <t xml:space="preserve">LDL cerca del umbral de 190, dispara reevaluación de manejo lipídico.</t>
  </si>
  <si>
    <t xml:space="preserve">ldl_control</t>
  </si>
  <si>
    <t xml:space="preserve">LDL 150 (control) -&gt; NO dispara ldl_190</t>
  </si>
  <si>
    <t xml:space="preserve">Valor de LDL moderado, control negativo lejos del umbral.</t>
  </si>
  <si>
    <t xml:space="preserve">ldl_alto</t>
  </si>
  <si>
    <t xml:space="preserve">LDL 250 (muy por encima, ya clasificado sin ambigüedad) -&gt; NO dispara ldl_190</t>
  </si>
  <si>
    <t xml:space="preserve">Verifica el límite superior de la banda gris, valores muy altos no deben re-disparar la zona límite.</t>
  </si>
  <si>
    <t xml:space="preserve">a1c_8</t>
  </si>
  <si>
    <t xml:space="preserve">A1c 8.0% (justo en el corte) -&gt; dispara zona a1c_8</t>
  </si>
  <si>
    <t xml:space="preserve">A1c exactamente en el valor de corte de 8%.</t>
  </si>
  <si>
    <t xml:space="preserve">a1c_control</t>
  </si>
  <si>
    <t xml:space="preserve">A1c 6.5% (control) -&gt; NO dispara a1c_8</t>
  </si>
  <si>
    <t xml:space="preserve">Valor de A1c normal-alto pero lejos del corte, control negativo.</t>
  </si>
  <si>
    <t xml:space="preserve">uacr_30</t>
  </si>
  <si>
    <t xml:space="preserve">uACR 32 mg/g -&gt; dispara zona uacr_30</t>
  </si>
  <si>
    <t xml:space="preserve">uACR cerca del umbral de 30 mg/g, dispara reevaluación de riesgo renal.</t>
  </si>
  <si>
    <t xml:space="preserve">uacr_control</t>
  </si>
  <si>
    <t xml:space="preserve">uACR 10 mg/g (control, normal) -&gt; NO dispara uacr_30</t>
  </si>
  <si>
    <t xml:space="preserve">uACR normal, control negativo.</t>
  </si>
  <si>
    <t xml:space="preserve">cortico_20a</t>
  </si>
  <si>
    <t xml:space="preserve">Corticoide 17 mg/día -&gt; dispara zona cortico_20</t>
  </si>
  <si>
    <t xml:space="preserve">Dosis de corticoide dentro de la banda asimétrica bajo el corte de 20mg.</t>
  </si>
  <si>
    <t xml:space="preserve">cortico_20b</t>
  </si>
  <si>
    <t xml:space="preserve">Corticoide exactamente 20 mg/día (ya clasificado ALTO sin ambigüedad) -&gt; NO dispara cortico_20 (banda asimétrica, solo bajo el corte)</t>
  </si>
  <si>
    <t xml:space="preserve">Valor exactamente en el corte de 20mg, prueba explícita de la banda asimétrica.</t>
  </si>
  <si>
    <t xml:space="preserve">cortico_control</t>
  </si>
  <si>
    <t xml:space="preserve">Corticoide 5 mg/día (control, dosis baja) -&gt; NO dispara cortico_20</t>
  </si>
  <si>
    <t xml:space="preserve">Dosis baja de corticoide, control negativo lejos del umbral.</t>
  </si>
  <si>
    <t xml:space="preserve">pk-curves.test.mjs</t>
  </si>
  <si>
    <t xml:space="preserve">MET-cobertura1</t>
  </si>
  <si>
    <t xml:space="preserve">49 puntos exactos (0 a 24h cada 0.5h)</t>
  </si>
  <si>
    <t xml:space="preserve">Verifica la cobertura estándar de la curva PK para un fármaco típico (Metformina).</t>
  </si>
  <si>
    <t xml:space="preserve">MET-cobertura2</t>
  </si>
  <si>
    <t xml:space="preserve">Empieza en h=0 y termina en h=24</t>
  </si>
  <si>
    <t xml:space="preserve">Verifica los puntos límite (inicio y fin) del rango horario de la curva.</t>
  </si>
  <si>
    <t xml:space="preserve">MET-pico</t>
  </si>
  <si>
    <t xml:space="preserve">Pico normalizado a 100</t>
  </si>
  <si>
    <t xml:space="preserve">Verifica la normalización estándar del pico de la curva.</t>
  </si>
  <si>
    <t xml:space="preserve">MET-nonneg</t>
  </si>
  <si>
    <t xml:space="preserve">Nunca negativo</t>
  </si>
  <si>
    <t xml:space="preserve">Verifica el límite inferior (piso en 0) de los niveles de la curva.</t>
  </si>
  <si>
    <t xml:space="preserve">LISPRO-pico</t>
  </si>
  <si>
    <t xml:space="preserve">Insulina rápida: pico dentro de las primeras 2h</t>
  </si>
  <si>
    <t xml:space="preserve">Comportamiento farmacocinético típico esperado de una insulina prandial rápida.</t>
  </si>
  <si>
    <t xml:space="preserve">LISPRO-24h</t>
  </si>
  <si>
    <t xml:space="preserve">Insulina rápida: nivel cerca de 0 a las 24h (acción corta)</t>
  </si>
  <si>
    <t xml:space="preserve">Comportamiento típico esperado de acción corta de la insulina prandial.</t>
  </si>
  <si>
    <t xml:space="preserve">NPH-pico</t>
  </si>
  <si>
    <t xml:space="preserve">NPH: pico entre 4 y 8h (documentado en pharma-db.js)</t>
  </si>
  <si>
    <t xml:space="preserve">Comportamiento farmacocinético típico documentado para insulina NPH.</t>
  </si>
  <si>
    <t xml:space="preserve">GLAR-override</t>
  </si>
  <si>
    <t xml:space="preserve">Glargina (mismo grupo que NPH) NO usa el pico marcado de NPH — override por id funciona</t>
  </si>
  <si>
    <t xml:space="preserve">Caso diseñado deliberadamente para detectar que la lógica de agrupación no mezcle el pico de otro fármaco del mismo grupo.</t>
  </si>
  <si>
    <t xml:space="preserve">GLAR-24h</t>
  </si>
  <si>
    <t xml:space="preserve">Glargina: nivel sigue alto (&gt;50) a las 24h — acción plana prolongada</t>
  </si>
  <si>
    <t xml:space="preserve">Comportamiento típico esperado de una insulina basal de acción prolongada.</t>
  </si>
  <si>
    <t xml:space="preserve">SEMA-24h</t>
  </si>
  <si>
    <t xml:space="preserve">GLP-1 semanal: nivel a las 24h sigue muy alto (&gt;85) — vida media de días domina sobre la ventana de 24h</t>
  </si>
  <si>
    <t xml:space="preserve">Consecuencia natural (no forzada) de la vida media larga de un GLP-1 semanal.</t>
  </si>
  <si>
    <t xml:space="preserve">LIRA-vs-SEMA</t>
  </si>
  <si>
    <t xml:space="preserve">Liraglutida (diaria) declina más que Semaglutida (semanal) en 24h pese a compartir grp</t>
  </si>
  <si>
    <t xml:space="preserve">Caso diseñado deliberadamente para verificar que el override por id distinga correctamente dos fármacos del mismo grupo.</t>
  </si>
  <si>
    <t xml:space="preserve">X-default</t>
  </si>
  <si>
    <t xml:space="preserve">Sin vidaMediaHoras -&gt; no truena, usa default razonable</t>
  </si>
  <si>
    <t xml:space="preserve">Dato de vida media faltante en el fármaco, verifica manejo robusto de campo ausente.</t>
  </si>
  <si>
    <t xml:space="preserve">insulin-cases.test.mjs</t>
  </si>
  <si>
    <t xml:space="preserve">I1</t>
  </si>
  <si>
    <t xml:space="preserve">Virgen de insulina, 80kg -&gt; 8-16 UI/día (0.1-0.2 UI/kg)</t>
  </si>
  <si>
    <t xml:space="preserve">Paciente típico sin insulina previa; el cálculo es de dosificación de insulina.</t>
  </si>
  <si>
    <t xml:space="preserve">I2</t>
  </si>
  <si>
    <t xml:space="preserve">Ya con basal + A1c 9.0% (meta 7.0%) -&gt; NO en metas, objetivo 40 UI/día (0.5 UI/kg)</t>
  </si>
  <si>
    <t xml:space="preserve">Escenario clínico plausible de escalamiento de dosis; seguridad crítica por ser insulina.</t>
  </si>
  <si>
    <t xml:space="preserve">I3</t>
  </si>
  <si>
    <t xml:space="preserve">Ya con basal + A1c 6.5% (meta 7.0%) -&gt; EN metas</t>
  </si>
  <si>
    <t xml:space="preserve">Caso típico de paciente controlado, relevante para la decisión de dosis segura.</t>
  </si>
  <si>
    <t xml:space="preserve">I4</t>
  </si>
  <si>
    <t xml:space="preserve">Ya con basal, sin A1c/glucosa -&gt; 'sin datos de control' (no inventa un estado)</t>
  </si>
  <si>
    <t xml:space="preserve">Faltan datos de control glucémico y se verifica que no se invente una dosis.</t>
  </si>
  <si>
    <t xml:space="preserve">I5</t>
  </si>
  <si>
    <t xml:space="preserve">Ya con basal + ayuno=60 (hipoglucemia) -&gt; riesgo de hipoglucemia, considerar REDUCIR basal</t>
  </si>
  <si>
    <t xml:space="preserve">Detecta hipoglucemia pese a faltar el A1c; la decisión de reducir dosis es seguridad crítica.</t>
  </si>
  <si>
    <t xml:space="preserve">I6</t>
  </si>
  <si>
    <t xml:space="preserve">Sin peso capturado -&gt; 'sin_peso' (no inventa una dosis)</t>
  </si>
  <si>
    <t xml:space="preserve">Dato esencial (peso) ausente para calcular con seguridad una dosis de insulina.</t>
  </si>
  <si>
    <t xml:space="preserve">I7</t>
  </si>
  <si>
    <t xml:space="preserve">Basal ok + posprandial elevada (220) + sin bolo activo -&gt; sugiere bolo nuevo, 4-8 UI/comida (0.05-0.1 UI/kg)</t>
  </si>
  <si>
    <t xml:space="preserve">Escenario típico de indicación de bolo nuevo; cálculo de dosis de insulina.</t>
  </si>
  <si>
    <t xml:space="preserve">I8</t>
  </si>
  <si>
    <t xml:space="preserve">Bolo YA activo + posprandial sigue elevada -&gt; reevaluar ajuste (no lo trata como indicación nueva)</t>
  </si>
  <si>
    <t xml:space="preserve">Caso plausible de ajuste de dosis en paciente ya con bolo activo.</t>
  </si>
  <si>
    <t xml:space="preserve">I9</t>
  </si>
  <si>
    <t xml:space="preserve">Virgen de insulina (sin basal) + posprandial elevada -&gt; NO sugiere bolo aún (requiere base basal primero)</t>
  </si>
  <si>
    <t xml:space="preserve">Escenario común que exige la precedencia segura basal-antes-que-bolo.</t>
  </si>
  <si>
    <t xml:space="preserve">I10</t>
  </si>
  <si>
    <t xml:space="preserve">Ayuno TAMBIÉN elevado (200) -&gt; no sugiere bolo nuevo todavía (corregir basal primero)</t>
  </si>
  <si>
    <t xml:space="preserve">Presentación clínica común de doble elevación; prueba de precedencia segura basal-primero.</t>
  </si>
  <si>
    <t xml:space="preserve">I11</t>
  </si>
  <si>
    <t xml:space="preserve">Ayuno elevado + posprandial en meta -&gt; interpretación apunta a BASAL insuficiente</t>
  </si>
  <si>
    <t xml:space="preserve">Patrón típico de monitoreo que orienta una decisión de dosis segura.</t>
  </si>
  <si>
    <t xml:space="preserve">I12</t>
  </si>
  <si>
    <t xml:space="preserve">Ayuno en meta + posprandial elevado -&gt; interpretación apunta a BOLO</t>
  </si>
  <si>
    <t xml:space="preserve">Patrón típico complementario que orienta una decisión de dosis segura.</t>
  </si>
  <si>
    <t xml:space="preserve">I13</t>
  </si>
  <si>
    <t xml:space="preserve">Glucosa 69 -&gt; 'hipoglucemia_nivel1'; 70 -&gt; 'bajo' (no hipoglucemia, umbral estricto ADA &lt;70)</t>
  </si>
  <si>
    <t xml:space="preserve">Valores exactamente en el corte del umbral de hipoglucemia; crítico para seguridad.</t>
  </si>
  <si>
    <t xml:space="preserve">I13b</t>
  </si>
  <si>
    <t xml:space="preserve">Glucosa 53 -&gt; Nivel 2 (&lt;54, clínicamente significativa)</t>
  </si>
  <si>
    <t xml:space="preserve">Justo bajo el corte 54 del umbral de hipoglucemia nivel 2; seguridad crítica.</t>
  </si>
  <si>
    <t xml:space="preserve">Glucosa 54 (borde inclusivo) -&gt; Nivel 1, no Nivel 2</t>
  </si>
  <si>
    <t xml:space="preserve">Valor exactamente en el corte inclusivo 54; seguridad crítica.</t>
  </si>
  <si>
    <t xml:space="preserve">Glucosa 60 -&gt; Nivel 1 (54-69, alerta)</t>
  </si>
  <si>
    <t xml:space="preserve">Valor dentro del rango de alerta cercano a los cortes; seguridad crítica.</t>
  </si>
  <si>
    <t xml:space="preserve">I14</t>
  </si>
  <si>
    <t xml:space="preserve">Meta posprandial: 180 en adulto general, 200 en paciente muy complejo/frágil (≥65a)</t>
  </si>
  <si>
    <t xml:space="preserve">Comparación de metas glucémicas típicas según fragilidad; relevante para la seguridad de la dosis.</t>
  </si>
  <si>
    <t xml:space="preserve">I15</t>
  </si>
  <si>
    <t xml:space="preserve">Sin diabetes/insulina/A1c alto -&gt; EndoInsulin NO aplica (no se muestra el panel)</t>
  </si>
  <si>
    <t xml:space="preserve">Caso típico de paciente sano; evita aplicar dosificación de insulina a quien no la necesita.</t>
  </si>
  <si>
    <t xml:space="preserve">I16</t>
  </si>
  <si>
    <t xml:space="preserve">tipoDM=DM2 capturado -&gt; EndoInsulin SÍ aplica (independiente del A1c)</t>
  </si>
  <si>
    <t xml:space="preserve">Caso típico de paciente diabético; determina la aplicabilidad de la dosificación.</t>
  </si>
  <si>
    <t xml:space="preserve">I16b</t>
  </si>
  <si>
    <t xml:space="preserve">A1c 8.0% sin dx de diabetes ni insulina activa -&gt; YA NO aplica (antes 6.5% sí aplicaba)</t>
  </si>
  <si>
    <t xml:space="preserve">Valor cercano al nuevo umbral (9%) que demuestra el cambio de corte; afecta si se calcula dosis.</t>
  </si>
  <si>
    <t xml:space="preserve">A1c 9.5% sin dx de diabetes ni insulina activa -&gt; SÍ aplica (&gt;9%)</t>
  </si>
  <si>
    <t xml:space="preserve">Valor justo sobre el nuevo umbral 9%; seguridad de aplicabilidad de insulina.</t>
  </si>
  <si>
    <t xml:space="preserve">A1c exactamente 9.0% -&gt; NO aplica (corte estricto &gt;9, no ≥9)</t>
  </si>
  <si>
    <t xml:space="preserve">Valor exactamente en el corte del umbral (9.0%); prueba de límite estricto.</t>
  </si>
  <si>
    <t xml:space="preserve">I17</t>
  </si>
  <si>
    <t xml:space="preserve">tieneBasalActiva/tienePrandialActiva detectan correctamente por grupo farmacológico</t>
  </si>
  <si>
    <t xml:space="preserve">Detección típica de medicación activa, insumo necesario para decisiones seguras de dosis.</t>
  </si>
  <si>
    <t xml:space="preserve">I18</t>
  </si>
  <si>
    <t xml:space="preserve">ISF con TDD=50, análogo rápido -&gt; 1800/50 = 36 mg/dL por UI</t>
  </si>
  <si>
    <t xml:space="preserve">Cálculo típico del factor de sensibilidad usado en dosificación de corrección.</t>
  </si>
  <si>
    <t xml:space="preserve">ISF con TDD=50, insulina Regular -&gt; 1500/50 = 30 mg/dL por UI</t>
  </si>
  <si>
    <t xml:space="preserve">Cálculo típico con fórmula alterna (Regla 1500); relevante para dosis segura.</t>
  </si>
  <si>
    <t xml:space="preserve">ISF sin TDD (0) -&gt; null, no truena</t>
  </si>
  <si>
    <t xml:space="preserve">Falta el dato de TDD; se evita generar un ISF inválido que dañaría al paciente.</t>
  </si>
  <si>
    <t xml:space="preserve">I19</t>
  </si>
  <si>
    <t xml:space="preserve">ICR con TDD=50 -&gt; 500/50 = 10 g de carbohidrato por UI</t>
  </si>
  <si>
    <t xml:space="preserve">Cálculo típico de la relación insulina:carbohidratos, seguridad del bolo.</t>
  </si>
  <si>
    <t xml:space="preserve">ICR sin TDD -&gt; null, no truena</t>
  </si>
  <si>
    <t xml:space="preserve">Falta el TDD para calcular el ICR; se evita inventar una relación insegura.</t>
  </si>
  <si>
    <t xml:space="preserve">I20</t>
  </si>
  <si>
    <t xml:space="preserve">Corrección: glucosa 250, meta 120, ISF 36 -&gt; (250-120)/36 = 3.6 UI</t>
  </si>
  <si>
    <t xml:space="preserve">Cálculo típico de dosis de corrección de insulina.</t>
  </si>
  <si>
    <t xml:space="preserve">Corrección: glucosa YA por debajo de la meta -&gt; 0 UI, nunca negativa</t>
  </si>
  <si>
    <t xml:space="preserve">Caso límite donde el resultado matemático sería negativo; una dosis negativa sería peligrosa.</t>
  </si>
  <si>
    <t xml:space="preserve">Corrección sin glucosa capturada -&gt; null, no truena</t>
  </si>
  <si>
    <t xml:space="preserve">Falta el dato de glucosa; se evita calcular una dosis de corrección inventada.</t>
  </si>
  <si>
    <t xml:space="preserve">I21</t>
  </si>
  <si>
    <t xml:space="preserve">TDD estimada, virgen 80kg (sin bolo aplicable) -&gt; promedio basal (8-16 UI) = 12</t>
  </si>
  <si>
    <t xml:space="preserve">Estimación típica de dosis diaria total, insumo de seguridad para la titulación.</t>
  </si>
  <si>
    <t xml:space="preserve">TDD estimada sin peso capturado -&gt; 0, no inventa un número</t>
  </si>
  <si>
    <t xml:space="preserve">Falta el peso; se evita estimar una TDD sin base real.</t>
  </si>
  <si>
    <t xml:space="preserve">I22</t>
  </si>
  <si>
    <t xml:space="preserve">Sin override -&gt; titulacion.tddEsEstimado = true, TDD = estimateTDD(p)</t>
  </si>
  <si>
    <t xml:space="preserve">I,H</t>
  </si>
  <si>
    <t xml:space="preserve">Compara el TDD del ensamble contra estimateTDD(p) para verificar consistencia interna entre módulos.</t>
  </si>
  <si>
    <t xml:space="preserve">Con override manual (60) -&gt; titulacion.tdd = 60, tddEsEstimado = false, ISF/ICR derivados de 60</t>
  </si>
  <si>
    <t xml:space="preserve">Compara ISF/ICR del ensamble contra computeISF/computeICR calculados por separado para el mismo hecho clínico.</t>
  </si>
  <si>
    <t xml:space="preserve">I23</t>
  </si>
  <si>
    <t xml:space="preserve">Caso mixto: ayuno 150 (elevado) + nocturna 60 (hipoglucemia) -&gt; monitoreo detecta AMBAS señales</t>
  </si>
  <si>
    <t xml:space="preserve">F,H</t>
  </si>
  <si>
    <t xml:space="preserve">Señales fisiológicas contradictorias simultáneas (ayuno alto y nocturna baja) en contexto de dosificación de insulina.</t>
  </si>
  <si>
    <t xml:space="preserve">Caso mixto -&gt; la DOSIS recomienda REDUCIR (no escalar) — hipoglucemia manda sobre ayuno elevado</t>
  </si>
  <si>
    <t xml:space="preserve">Resuelve datos contradictorios priorizando la señal de seguridad (hipoglucemia) sobre la de escalamiento.</t>
  </si>
  <si>
    <t xml:space="preserve">Caso mixto -&gt; NUNCA debe devolver 'establecida_no_en_metas' (que implicaría escalar sobre una hipoglucemia)</t>
  </si>
  <si>
    <t xml:space="preserve">F,H,C</t>
  </si>
  <si>
    <t xml:space="preserve">Verificación de resguardo diseñada específicamente para atrapar el bug de orden de evaluación descubierto el 16-ago-2026.</t>
  </si>
  <si>
    <t xml:space="preserve">Control: solo ayuno elevado (nocturna en meta) -&gt; SIGUE escalando (sin cambio de comportamiento)</t>
  </si>
  <si>
    <t xml:space="preserve">Caso control sin contradicción de señales; confirma que el comportamiento previo no se rompió.</t>
  </si>
  <si>
    <t xml:space="preserve">screening-cases.test.mjs</t>
  </si>
  <si>
    <t xml:space="preserve">S1</t>
  </si>
  <si>
    <t xml:space="preserve">getAniosConDM prioriza fecha exacta sobre años aproximados</t>
  </si>
  <si>
    <t xml:space="preserve">C,F</t>
  </si>
  <si>
    <t xml:space="preserve">Combina un valor de años clínicamente absurdo (999) junto con una fecha exacta; contradicción deliberada para probar la precedencia.</t>
  </si>
  <si>
    <t xml:space="preserve">S2</t>
  </si>
  <si>
    <t xml:space="preserve">getAniosConDM usa años aproximados si no hay fecha</t>
  </si>
  <si>
    <t xml:space="preserve">D,A</t>
  </si>
  <si>
    <t xml:space="preserve">Falta la fecha exacta y se usa el respaldo de años aproximados; escenario típico de captura incompleta.</t>
  </si>
  <si>
    <t xml:space="preserve">S3</t>
  </si>
  <si>
    <t xml:space="preserve">getAniosConDM regresa null sin datos de duración</t>
  </si>
  <si>
    <t xml:space="preserve">No hay fecha ni años capturados; el sistema no debe inventar una duración.</t>
  </si>
  <si>
    <t xml:space="preserve">DM2 día 1 -&gt; retinopatía/nefropatía/neuropatía YA indicadas (no esperan 5 años)</t>
  </si>
  <si>
    <t xml:space="preserve">Caso límite de diagnóstico recién hecho (0 años); verifica que DM2 no espera el umbral de 5 años de DM1.</t>
  </si>
  <si>
    <t xml:space="preserve">DM2 con tamizaje de retinopatía hace 3 meses -&gt; al día</t>
  </si>
  <si>
    <t xml:space="preserve">Caso típico de paciente con tamizaje reciente y vigente.</t>
  </si>
  <si>
    <t xml:space="preserve">D3</t>
  </si>
  <si>
    <t xml:space="preserve">DM2 con nefropatía tamizada hace ~20 meses -&gt; atrasado</t>
  </si>
  <si>
    <t xml:space="preserve">Caso típico de tamizaje vencido por exceder el intervalo anual.</t>
  </si>
  <si>
    <t xml:space="preserve">D4</t>
  </si>
  <si>
    <t xml:space="preserve">DM1 con 2 años -&gt; retinopatía/nefropatía/neuropatía AÚN NO indicadas (regla 5 años)</t>
  </si>
  <si>
    <t xml:space="preserve">Escenario plausible de DM1 temprana, antes del umbral de 5 años.</t>
  </si>
  <si>
    <t xml:space="preserve">D5</t>
  </si>
  <si>
    <t xml:space="preserve">DM1 con exactamente 5 años -&gt; corresponde tamizaje (límite inclusivo)</t>
  </si>
  <si>
    <t xml:space="preserve">Valor exactamente en el corte de 5 años; límite inclusivo de la regla DM1.</t>
  </si>
  <si>
    <t xml:space="preserve">D6</t>
  </si>
  <si>
    <t xml:space="preserve">DM1 con 4.9 años -&gt; aún NO corresponde (justo bajo el límite)</t>
  </si>
  <si>
    <t xml:space="preserve">Valor justo por debajo del corte de 5 años; prueba de límite estricto.</t>
  </si>
  <si>
    <t xml:space="preserve">D7</t>
  </si>
  <si>
    <t xml:space="preserve">DM1 con 2 años -&gt; pie diabético y riesgo CV YA corresponden (sin regla de 5 años)</t>
  </si>
  <si>
    <t xml:space="preserve">Caso típico que contrasta ítems sin regla de espera de 5 años.</t>
  </si>
  <si>
    <t xml:space="preserve">D8</t>
  </si>
  <si>
    <t xml:space="preserve">Alto riesgo de pie + examen hace ~8 meses -&gt; PIE atrasado (intervalo 6m) pero riesgoCV al día (intervalo 12m)</t>
  </si>
  <si>
    <t xml:space="preserve">Escenario clínico plausible que valida intervalos diferenciados según nivel de riesgo.</t>
  </si>
  <si>
    <t xml:space="preserve">D9</t>
  </si>
  <si>
    <t xml:space="preserve">Sin alto riesgo de pie + examen hace ~8 meses -&gt; PIE al día (intervalo 12m)</t>
  </si>
  <si>
    <t xml:space="preserve">Caso típico contrastante sin factor de alto riesgo; intervalo estándar de 12 meses.</t>
  </si>
  <si>
    <t xml:space="preserve">D10</t>
  </si>
  <si>
    <t xml:space="preserve">Sin antecedente diabetológico -&gt; todos los ítems 'sin_dato' (no se inventa un estado)</t>
  </si>
  <si>
    <t xml:space="preserve">Ningún dato de tipo ni duración de diabetes capturado; no se debe inventar un estado de tamizaje.</t>
  </si>
  <si>
    <t xml:space="preserve">NEXORA — EndoCore: Clasificación de la suite de 227 tests</t>
  </si>
  <si>
    <t xml:space="preserve">Taxonomía A-H propuesta por el Dr. Ortega + I (consistencia interna, propuesta del equipo, 16-ago-2026)</t>
  </si>
  <si>
    <t xml:space="preserve">Cat.</t>
  </si>
  <si>
    <t xml:space="preserve">Nombre</t>
  </si>
  <si>
    <t xml:space="preserve"># de casos</t>
  </si>
  <si>
    <t xml:space="preserve">% del total</t>
  </si>
  <si>
    <t xml:space="preserve">Nota</t>
  </si>
  <si>
    <t xml:space="preserve">Casos normales</t>
  </si>
  <si>
    <t xml:space="preserve">Paciente típico, datos completos, sin nada extremo.</t>
  </si>
  <si>
    <t xml:space="preserve">Base sólida — casi la mitad de la suite. Esperado y correcto: la mayoría de las consultas reales son así.</t>
  </si>
  <si>
    <t xml:space="preserve">Edge cases</t>
  </si>
  <si>
    <t xml:space="preserve">Valor exactamente en un corte/umbral (eGFR=30, edad=65, etc.).</t>
  </si>
  <si>
    <t xml:space="preserve">Buena cobertura de umbrales exactos, sobre todo vía boundary-alerts.test.mjs.</t>
  </si>
  <si>
    <t xml:space="preserve">Adversarial</t>
  </si>
  <si>
    <t xml:space="preserve">Combinación deliberadamente diseñada para romper la lógica del sistema.</t>
  </si>
  <si>
    <t xml:space="preserve">Cobertura ligera — pocos casos diseñados deliberadamente para romper el sistema (más allá de un valor límite).</t>
  </si>
  <si>
    <t xml:space="preserve">Missing data</t>
  </si>
  <si>
    <t xml:space="preserve">Falta un dato relevante (campo vacío/no capturado).</t>
  </si>
  <si>
    <t xml:space="preserve">Cobertura recién reforzada (16-ago-2026) tras el hallazgo de gobernanza del bug de metformina/eGFR.</t>
  </si>
  <si>
    <t xml:space="preserve">Human error</t>
  </si>
  <si>
    <t xml:space="preserve">Dato plausible pero probablemente un error de captura (ej. glucosa 65 en vez de 650).</t>
  </si>
  <si>
    <t xml:space="preserve">HUECO REAL — cero casos en toda la suite. Nadie prueba un dato plausible pero probablemente erróneo (ej. glucosa 65 vs 650). Coincide exactamente con el hueco de "dato sospechoso pero plausible" identificado en el catálogo de gobernanza clínica.</t>
  </si>
  <si>
    <t xml:space="preserve">Contradictory</t>
  </si>
  <si>
    <t xml:space="preserve">Dos datos del MISMO paciente que se contradicen entre sí.</t>
  </si>
  <si>
    <t xml:space="preserve">Cobertura mínima — los pocos casos existentes surgieron como efecto colateral de otras pruebas (ej. el bug de insulina I23), no de un diseño deliberado de "datos contradictorios".</t>
  </si>
  <si>
    <t xml:space="preserve">Guideline conflict</t>
  </si>
  <si>
    <t xml:space="preserve">Prueba explícita de qué pasa cuando dos guías/sociedades difieren.</t>
  </si>
  <si>
    <t xml:space="preserve">Cobertura mínima y concentrada casi toda en un solo tema (el gate PREVENT-CVD en HTA). Ningún otro conflicto de guías documentado en el motor central tiene test dedicado.</t>
  </si>
  <si>
    <t xml:space="preserve">Safety-critical</t>
  </si>
  <si>
    <t xml:space="preserve">Contraindicación, interacción fármaco-fármaco, o alerta de seguridad.</t>
  </si>
  <si>
    <t xml:space="preserve">Categoría dominante — más de la mitad de la suite. Coherente con ser una herramienta de decisión clínica: la seguridad debe ser lo más probado.</t>
  </si>
  <si>
    <t xml:space="preserve">Consistencia interna</t>
  </si>
  <si>
    <t xml:space="preserve">Compara dos funciones/módulos que calculan el mismo hecho clínico — deben coincidir.</t>
  </si>
  <si>
    <t xml:space="preserve">Cobertura inicial razonable, concentrada en deduplicación de tarjetas — pero ningún caso prueba HOY la inconsistencia ya corregida entre classifyBP de calculations.js vs individualization.js (el bug real que motivó esta categoría).</t>
  </si>
  <si>
    <t xml:space="preserve">Total</t>
  </si>
  <si>
    <t xml:space="preserve">Casos únicos en la suite</t>
  </si>
  <si>
    <t xml:space="preserve">Nota: una verificación puede pertenecer a más de una categoría (ej. un caso puede ser B y H a la vez) — por eso la suma de "# de casos" es mayor que el total de casos únicos (227). Los conteos son fórmulas sobre la hoja Detalle, no números fijos: se recalculan si agregas o cambias una fila.</t>
  </si>
</sst>
</file>

<file path=xl/styles.xml><?xml version="1.0" encoding="utf-8"?>
<styleSheet xmlns="http://schemas.openxmlformats.org/spreadsheetml/2006/main">
  <numFmts count="2">
    <numFmt numFmtId="164" formatCode="General"/>
    <numFmt numFmtId="165" formatCode="0.0%"/>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10"/>
      <name val="Arial"/>
      <family val="0"/>
      <charset val="1"/>
    </font>
    <font>
      <b val="true"/>
      <sz val="14"/>
      <color rgb="FF1F4E78"/>
      <name val="Arial"/>
      <family val="0"/>
      <charset val="1"/>
    </font>
    <font>
      <i val="true"/>
      <sz val="10"/>
      <color rgb="FF666666"/>
      <name val="Arial"/>
      <family val="0"/>
      <charset val="1"/>
    </font>
    <font>
      <b val="true"/>
      <sz val="11"/>
      <name val="Arial"/>
      <family val="0"/>
      <charset val="1"/>
    </font>
    <font>
      <sz val="9"/>
      <color rgb="FF333333"/>
      <name val="Arial"/>
      <family val="0"/>
      <charset val="1"/>
    </font>
    <font>
      <i val="true"/>
      <sz val="9"/>
      <color rgb="FFB00000"/>
      <name val="Arial"/>
      <family val="0"/>
      <charset val="1"/>
    </font>
    <font>
      <i val="true"/>
      <sz val="9"/>
      <color rgb="FF666666"/>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2F2"/>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55"/>
    <col collapsed="false" customWidth="true" hidden="false" outlineLevel="0" max="4" min="4" style="0" width="12"/>
    <col collapsed="false" customWidth="true" hidden="false" outlineLevel="0" max="5" min="5" style="0" width="55"/>
    <col collapsed="false" customWidth="true" hidden="false" outlineLevel="0" max="14" min="6" style="0" width="4.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23.85" hidden="false" customHeight="false" outlineLevel="0" collapsed="false">
      <c r="A2" s="2" t="s">
        <v>14</v>
      </c>
      <c r="B2" s="2" t="s">
        <v>15</v>
      </c>
      <c r="C2" s="3" t="s">
        <v>16</v>
      </c>
      <c r="D2" s="4" t="s">
        <v>5</v>
      </c>
      <c r="E2" s="5" t="s">
        <v>17</v>
      </c>
      <c r="F2" s="6" t="n">
        <f aca="false">IF(ISNUMBER(SEARCH(","&amp;F$1&amp;",",","&amp;$D2&amp;",")),1,0)</f>
        <v>1</v>
      </c>
      <c r="G2" s="6" t="n">
        <f aca="false">IF(ISNUMBER(SEARCH(","&amp;G$1&amp;",",","&amp;$D2&amp;",")),1,0)</f>
        <v>0</v>
      </c>
      <c r="H2" s="6" t="n">
        <f aca="false">IF(ISNUMBER(SEARCH(","&amp;H$1&amp;",",","&amp;$D2&amp;",")),1,0)</f>
        <v>0</v>
      </c>
      <c r="I2" s="6" t="n">
        <f aca="false">IF(ISNUMBER(SEARCH(","&amp;I$1&amp;",",","&amp;$D2&amp;",")),1,0)</f>
        <v>0</v>
      </c>
      <c r="J2" s="6" t="n">
        <f aca="false">IF(ISNUMBER(SEARCH(","&amp;J$1&amp;",",","&amp;$D2&amp;",")),1,0)</f>
        <v>0</v>
      </c>
      <c r="K2" s="6" t="n">
        <f aca="false">IF(ISNUMBER(SEARCH(","&amp;K$1&amp;",",","&amp;$D2&amp;",")),1,0)</f>
        <v>0</v>
      </c>
      <c r="L2" s="6" t="n">
        <f aca="false">IF(ISNUMBER(SEARCH(","&amp;L$1&amp;",",","&amp;$D2&amp;",")),1,0)</f>
        <v>0</v>
      </c>
      <c r="M2" s="6" t="n">
        <f aca="false">IF(ISNUMBER(SEARCH(","&amp;M$1&amp;",",","&amp;$D2&amp;",")),1,0)</f>
        <v>0</v>
      </c>
      <c r="N2" s="6" t="n">
        <f aca="false">IF(ISNUMBER(SEARCH(","&amp;N$1&amp;",",","&amp;$D2&amp;",")),1,0)</f>
        <v>0</v>
      </c>
    </row>
    <row r="3" customFormat="false" ht="23.85" hidden="false" customHeight="false" outlineLevel="0" collapsed="false">
      <c r="A3" s="2" t="s">
        <v>14</v>
      </c>
      <c r="B3" s="2" t="s">
        <v>18</v>
      </c>
      <c r="C3" s="3" t="s">
        <v>19</v>
      </c>
      <c r="D3" s="4" t="s">
        <v>5</v>
      </c>
      <c r="E3" s="5" t="s">
        <v>20</v>
      </c>
      <c r="F3" s="6" t="n">
        <f aca="false">IF(ISNUMBER(SEARCH(","&amp;F$1&amp;",",","&amp;$D3&amp;",")),1,0)</f>
        <v>1</v>
      </c>
      <c r="G3" s="6" t="n">
        <f aca="false">IF(ISNUMBER(SEARCH(","&amp;G$1&amp;",",","&amp;$D3&amp;",")),1,0)</f>
        <v>0</v>
      </c>
      <c r="H3" s="6" t="n">
        <f aca="false">IF(ISNUMBER(SEARCH(","&amp;H$1&amp;",",","&amp;$D3&amp;",")),1,0)</f>
        <v>0</v>
      </c>
      <c r="I3" s="6" t="n">
        <f aca="false">IF(ISNUMBER(SEARCH(","&amp;I$1&amp;",",","&amp;$D3&amp;",")),1,0)</f>
        <v>0</v>
      </c>
      <c r="J3" s="6" t="n">
        <f aca="false">IF(ISNUMBER(SEARCH(","&amp;J$1&amp;",",","&amp;$D3&amp;",")),1,0)</f>
        <v>0</v>
      </c>
      <c r="K3" s="6" t="n">
        <f aca="false">IF(ISNUMBER(SEARCH(","&amp;K$1&amp;",",","&amp;$D3&amp;",")),1,0)</f>
        <v>0</v>
      </c>
      <c r="L3" s="6" t="n">
        <f aca="false">IF(ISNUMBER(SEARCH(","&amp;L$1&amp;",",","&amp;$D3&amp;",")),1,0)</f>
        <v>0</v>
      </c>
      <c r="M3" s="6" t="n">
        <f aca="false">IF(ISNUMBER(SEARCH(","&amp;M$1&amp;",",","&amp;$D3&amp;",")),1,0)</f>
        <v>0</v>
      </c>
      <c r="N3" s="6" t="n">
        <f aca="false">IF(ISNUMBER(SEARCH(","&amp;N$1&amp;",",","&amp;$D3&amp;",")),1,0)</f>
        <v>0</v>
      </c>
    </row>
    <row r="4" customFormat="false" ht="23.85" hidden="false" customHeight="false" outlineLevel="0" collapsed="false">
      <c r="A4" s="2" t="s">
        <v>14</v>
      </c>
      <c r="B4" s="2" t="s">
        <v>21</v>
      </c>
      <c r="C4" s="3" t="s">
        <v>22</v>
      </c>
      <c r="D4" s="4" t="s">
        <v>5</v>
      </c>
      <c r="E4" s="5" t="s">
        <v>23</v>
      </c>
      <c r="F4" s="6" t="n">
        <f aca="false">IF(ISNUMBER(SEARCH(","&amp;F$1&amp;",",","&amp;$D4&amp;",")),1,0)</f>
        <v>1</v>
      </c>
      <c r="G4" s="6" t="n">
        <f aca="false">IF(ISNUMBER(SEARCH(","&amp;G$1&amp;",",","&amp;$D4&amp;",")),1,0)</f>
        <v>0</v>
      </c>
      <c r="H4" s="6" t="n">
        <f aca="false">IF(ISNUMBER(SEARCH(","&amp;H$1&amp;",",","&amp;$D4&amp;",")),1,0)</f>
        <v>0</v>
      </c>
      <c r="I4" s="6" t="n">
        <f aca="false">IF(ISNUMBER(SEARCH(","&amp;I$1&amp;",",","&amp;$D4&amp;",")),1,0)</f>
        <v>0</v>
      </c>
      <c r="J4" s="6" t="n">
        <f aca="false">IF(ISNUMBER(SEARCH(","&amp;J$1&amp;",",","&amp;$D4&amp;",")),1,0)</f>
        <v>0</v>
      </c>
      <c r="K4" s="6" t="n">
        <f aca="false">IF(ISNUMBER(SEARCH(","&amp;K$1&amp;",",","&amp;$D4&amp;",")),1,0)</f>
        <v>0</v>
      </c>
      <c r="L4" s="6" t="n">
        <f aca="false">IF(ISNUMBER(SEARCH(","&amp;L$1&amp;",",","&amp;$D4&amp;",")),1,0)</f>
        <v>0</v>
      </c>
      <c r="M4" s="6" t="n">
        <f aca="false">IF(ISNUMBER(SEARCH(","&amp;M$1&amp;",",","&amp;$D4&amp;",")),1,0)</f>
        <v>0</v>
      </c>
      <c r="N4" s="6" t="n">
        <f aca="false">IF(ISNUMBER(SEARCH(","&amp;N$1&amp;",",","&amp;$D4&amp;",")),1,0)</f>
        <v>0</v>
      </c>
    </row>
    <row r="5" customFormat="false" ht="23.85" hidden="false" customHeight="false" outlineLevel="0" collapsed="false">
      <c r="A5" s="2" t="s">
        <v>14</v>
      </c>
      <c r="B5" s="2" t="s">
        <v>24</v>
      </c>
      <c r="C5" s="3" t="s">
        <v>25</v>
      </c>
      <c r="D5" s="4" t="s">
        <v>5</v>
      </c>
      <c r="E5" s="5" t="s">
        <v>26</v>
      </c>
      <c r="F5" s="6" t="n">
        <f aca="false">IF(ISNUMBER(SEARCH(","&amp;F$1&amp;",",","&amp;$D5&amp;",")),1,0)</f>
        <v>1</v>
      </c>
      <c r="G5" s="6" t="n">
        <f aca="false">IF(ISNUMBER(SEARCH(","&amp;G$1&amp;",",","&amp;$D5&amp;",")),1,0)</f>
        <v>0</v>
      </c>
      <c r="H5" s="6" t="n">
        <f aca="false">IF(ISNUMBER(SEARCH(","&amp;H$1&amp;",",","&amp;$D5&amp;",")),1,0)</f>
        <v>0</v>
      </c>
      <c r="I5" s="6" t="n">
        <f aca="false">IF(ISNUMBER(SEARCH(","&amp;I$1&amp;",",","&amp;$D5&amp;",")),1,0)</f>
        <v>0</v>
      </c>
      <c r="J5" s="6" t="n">
        <f aca="false">IF(ISNUMBER(SEARCH(","&amp;J$1&amp;",",","&amp;$D5&amp;",")),1,0)</f>
        <v>0</v>
      </c>
      <c r="K5" s="6" t="n">
        <f aca="false">IF(ISNUMBER(SEARCH(","&amp;K$1&amp;",",","&amp;$D5&amp;",")),1,0)</f>
        <v>0</v>
      </c>
      <c r="L5" s="6" t="n">
        <f aca="false">IF(ISNUMBER(SEARCH(","&amp;L$1&amp;",",","&amp;$D5&amp;",")),1,0)</f>
        <v>0</v>
      </c>
      <c r="M5" s="6" t="n">
        <f aca="false">IF(ISNUMBER(SEARCH(","&amp;M$1&amp;",",","&amp;$D5&amp;",")),1,0)</f>
        <v>0</v>
      </c>
      <c r="N5" s="6" t="n">
        <f aca="false">IF(ISNUMBER(SEARCH(","&amp;N$1&amp;",",","&amp;$D5&amp;",")),1,0)</f>
        <v>0</v>
      </c>
    </row>
    <row r="6" customFormat="false" ht="23.85" hidden="false" customHeight="false" outlineLevel="0" collapsed="false">
      <c r="A6" s="2" t="s">
        <v>14</v>
      </c>
      <c r="B6" s="2" t="s">
        <v>27</v>
      </c>
      <c r="C6" s="3" t="s">
        <v>28</v>
      </c>
      <c r="D6" s="4" t="s">
        <v>5</v>
      </c>
      <c r="E6" s="5" t="s">
        <v>29</v>
      </c>
      <c r="F6" s="6" t="n">
        <f aca="false">IF(ISNUMBER(SEARCH(","&amp;F$1&amp;",",","&amp;$D6&amp;",")),1,0)</f>
        <v>1</v>
      </c>
      <c r="G6" s="6" t="n">
        <f aca="false">IF(ISNUMBER(SEARCH(","&amp;G$1&amp;",",","&amp;$D6&amp;",")),1,0)</f>
        <v>0</v>
      </c>
      <c r="H6" s="6" t="n">
        <f aca="false">IF(ISNUMBER(SEARCH(","&amp;H$1&amp;",",","&amp;$D6&amp;",")),1,0)</f>
        <v>0</v>
      </c>
      <c r="I6" s="6" t="n">
        <f aca="false">IF(ISNUMBER(SEARCH(","&amp;I$1&amp;",",","&amp;$D6&amp;",")),1,0)</f>
        <v>0</v>
      </c>
      <c r="J6" s="6" t="n">
        <f aca="false">IF(ISNUMBER(SEARCH(","&amp;J$1&amp;",",","&amp;$D6&amp;",")),1,0)</f>
        <v>0</v>
      </c>
      <c r="K6" s="6" t="n">
        <f aca="false">IF(ISNUMBER(SEARCH(","&amp;K$1&amp;",",","&amp;$D6&amp;",")),1,0)</f>
        <v>0</v>
      </c>
      <c r="L6" s="6" t="n">
        <f aca="false">IF(ISNUMBER(SEARCH(","&amp;L$1&amp;",",","&amp;$D6&amp;",")),1,0)</f>
        <v>0</v>
      </c>
      <c r="M6" s="6" t="n">
        <f aca="false">IF(ISNUMBER(SEARCH(","&amp;M$1&amp;",",","&amp;$D6&amp;",")),1,0)</f>
        <v>0</v>
      </c>
      <c r="N6" s="6" t="n">
        <f aca="false">IF(ISNUMBER(SEARCH(","&amp;N$1&amp;",",","&amp;$D6&amp;",")),1,0)</f>
        <v>0</v>
      </c>
    </row>
    <row r="7" customFormat="false" ht="23.85" hidden="false" customHeight="false" outlineLevel="0" collapsed="false">
      <c r="A7" s="2" t="s">
        <v>14</v>
      </c>
      <c r="B7" s="2" t="s">
        <v>30</v>
      </c>
      <c r="C7" s="3" t="s">
        <v>31</v>
      </c>
      <c r="D7" s="4" t="s">
        <v>32</v>
      </c>
      <c r="E7" s="5" t="s">
        <v>33</v>
      </c>
      <c r="F7" s="6" t="n">
        <f aca="false">IF(ISNUMBER(SEARCH(","&amp;F$1&amp;",",","&amp;$D7&amp;",")),1,0)</f>
        <v>0</v>
      </c>
      <c r="G7" s="6" t="n">
        <f aca="false">IF(ISNUMBER(SEARCH(","&amp;G$1&amp;",",","&amp;$D7&amp;",")),1,0)</f>
        <v>1</v>
      </c>
      <c r="H7" s="6" t="n">
        <f aca="false">IF(ISNUMBER(SEARCH(","&amp;H$1&amp;",",","&amp;$D7&amp;",")),1,0)</f>
        <v>0</v>
      </c>
      <c r="I7" s="6" t="n">
        <f aca="false">IF(ISNUMBER(SEARCH(","&amp;I$1&amp;",",","&amp;$D7&amp;",")),1,0)</f>
        <v>0</v>
      </c>
      <c r="J7" s="6" t="n">
        <f aca="false">IF(ISNUMBER(SEARCH(","&amp;J$1&amp;",",","&amp;$D7&amp;",")),1,0)</f>
        <v>0</v>
      </c>
      <c r="K7" s="6" t="n">
        <f aca="false">IF(ISNUMBER(SEARCH(","&amp;K$1&amp;",",","&amp;$D7&amp;",")),1,0)</f>
        <v>0</v>
      </c>
      <c r="L7" s="6" t="n">
        <f aca="false">IF(ISNUMBER(SEARCH(","&amp;L$1&amp;",",","&amp;$D7&amp;",")),1,0)</f>
        <v>0</v>
      </c>
      <c r="M7" s="6" t="n">
        <f aca="false">IF(ISNUMBER(SEARCH(","&amp;M$1&amp;",",","&amp;$D7&amp;",")),1,0)</f>
        <v>1</v>
      </c>
      <c r="N7" s="6" t="n">
        <f aca="false">IF(ISNUMBER(SEARCH(","&amp;N$1&amp;",",","&amp;$D7&amp;",")),1,0)</f>
        <v>0</v>
      </c>
    </row>
    <row r="8" customFormat="false" ht="35.05" hidden="false" customHeight="false" outlineLevel="0" collapsed="false">
      <c r="A8" s="2" t="s">
        <v>14</v>
      </c>
      <c r="B8" s="2" t="s">
        <v>34</v>
      </c>
      <c r="C8" s="3" t="s">
        <v>35</v>
      </c>
      <c r="D8" s="4" t="s">
        <v>36</v>
      </c>
      <c r="E8" s="5" t="s">
        <v>37</v>
      </c>
      <c r="F8" s="6" t="n">
        <f aca="false">IF(ISNUMBER(SEARCH(","&amp;F$1&amp;",",","&amp;$D8&amp;",")),1,0)</f>
        <v>0</v>
      </c>
      <c r="G8" s="6" t="n">
        <f aca="false">IF(ISNUMBER(SEARCH(","&amp;G$1&amp;",",","&amp;$D8&amp;",")),1,0)</f>
        <v>0</v>
      </c>
      <c r="H8" s="6" t="n">
        <f aca="false">IF(ISNUMBER(SEARCH(","&amp;H$1&amp;",",","&amp;$D8&amp;",")),1,0)</f>
        <v>0</v>
      </c>
      <c r="I8" s="6" t="n">
        <f aca="false">IF(ISNUMBER(SEARCH(","&amp;I$1&amp;",",","&amp;$D8&amp;",")),1,0)</f>
        <v>1</v>
      </c>
      <c r="J8" s="6" t="n">
        <f aca="false">IF(ISNUMBER(SEARCH(","&amp;J$1&amp;",",","&amp;$D8&amp;",")),1,0)</f>
        <v>0</v>
      </c>
      <c r="K8" s="6" t="n">
        <f aca="false">IF(ISNUMBER(SEARCH(","&amp;K$1&amp;",",","&amp;$D8&amp;",")),1,0)</f>
        <v>0</v>
      </c>
      <c r="L8" s="6" t="n">
        <f aca="false">IF(ISNUMBER(SEARCH(","&amp;L$1&amp;",",","&amp;$D8&amp;",")),1,0)</f>
        <v>1</v>
      </c>
      <c r="M8" s="6" t="n">
        <f aca="false">IF(ISNUMBER(SEARCH(","&amp;M$1&amp;",",","&amp;$D8&amp;",")),1,0)</f>
        <v>0</v>
      </c>
      <c r="N8" s="6" t="n">
        <f aca="false">IF(ISNUMBER(SEARCH(","&amp;N$1&amp;",",","&amp;$D8&amp;",")),1,0)</f>
        <v>0</v>
      </c>
    </row>
    <row r="9" customFormat="false" ht="23.85" hidden="false" customHeight="false" outlineLevel="0" collapsed="false">
      <c r="A9" s="2" t="s">
        <v>14</v>
      </c>
      <c r="B9" s="2" t="s">
        <v>38</v>
      </c>
      <c r="C9" s="3" t="s">
        <v>39</v>
      </c>
      <c r="D9" s="4" t="s">
        <v>11</v>
      </c>
      <c r="E9" s="5" t="s">
        <v>40</v>
      </c>
      <c r="F9" s="6" t="n">
        <f aca="false">IF(ISNUMBER(SEARCH(","&amp;F$1&amp;",",","&amp;$D9&amp;",")),1,0)</f>
        <v>0</v>
      </c>
      <c r="G9" s="6" t="n">
        <f aca="false">IF(ISNUMBER(SEARCH(","&amp;G$1&amp;",",","&amp;$D9&amp;",")),1,0)</f>
        <v>0</v>
      </c>
      <c r="H9" s="6" t="n">
        <f aca="false">IF(ISNUMBER(SEARCH(","&amp;H$1&amp;",",","&amp;$D9&amp;",")),1,0)</f>
        <v>0</v>
      </c>
      <c r="I9" s="6" t="n">
        <f aca="false">IF(ISNUMBER(SEARCH(","&amp;I$1&amp;",",","&amp;$D9&amp;",")),1,0)</f>
        <v>0</v>
      </c>
      <c r="J9" s="6" t="n">
        <f aca="false">IF(ISNUMBER(SEARCH(","&amp;J$1&amp;",",","&amp;$D9&amp;",")),1,0)</f>
        <v>0</v>
      </c>
      <c r="K9" s="6" t="n">
        <f aca="false">IF(ISNUMBER(SEARCH(","&amp;K$1&amp;",",","&amp;$D9&amp;",")),1,0)</f>
        <v>0</v>
      </c>
      <c r="L9" s="6" t="n">
        <f aca="false">IF(ISNUMBER(SEARCH(","&amp;L$1&amp;",",","&amp;$D9&amp;",")),1,0)</f>
        <v>1</v>
      </c>
      <c r="M9" s="6" t="n">
        <f aca="false">IF(ISNUMBER(SEARCH(","&amp;M$1&amp;",",","&amp;$D9&amp;",")),1,0)</f>
        <v>0</v>
      </c>
      <c r="N9" s="6" t="n">
        <f aca="false">IF(ISNUMBER(SEARCH(","&amp;N$1&amp;",",","&amp;$D9&amp;",")),1,0)</f>
        <v>0</v>
      </c>
    </row>
    <row r="10" customFormat="false" ht="23.85" hidden="false" customHeight="false" outlineLevel="0" collapsed="false">
      <c r="A10" s="2" t="s">
        <v>14</v>
      </c>
      <c r="B10" s="2" t="s">
        <v>41</v>
      </c>
      <c r="C10" s="3" t="s">
        <v>42</v>
      </c>
      <c r="D10" s="4" t="s">
        <v>11</v>
      </c>
      <c r="E10" s="5" t="s">
        <v>43</v>
      </c>
      <c r="F10" s="6" t="n">
        <f aca="false">IF(ISNUMBER(SEARCH(","&amp;F$1&amp;",",","&amp;$D10&amp;",")),1,0)</f>
        <v>0</v>
      </c>
      <c r="G10" s="6" t="n">
        <f aca="false">IF(ISNUMBER(SEARCH(","&amp;G$1&amp;",",","&amp;$D10&amp;",")),1,0)</f>
        <v>0</v>
      </c>
      <c r="H10" s="6" t="n">
        <f aca="false">IF(ISNUMBER(SEARCH(","&amp;H$1&amp;",",","&amp;$D10&amp;",")),1,0)</f>
        <v>0</v>
      </c>
      <c r="I10" s="6" t="n">
        <f aca="false">IF(ISNUMBER(SEARCH(","&amp;I$1&amp;",",","&amp;$D10&amp;",")),1,0)</f>
        <v>0</v>
      </c>
      <c r="J10" s="6" t="n">
        <f aca="false">IF(ISNUMBER(SEARCH(","&amp;J$1&amp;",",","&amp;$D10&amp;",")),1,0)</f>
        <v>0</v>
      </c>
      <c r="K10" s="6" t="n">
        <f aca="false">IF(ISNUMBER(SEARCH(","&amp;K$1&amp;",",","&amp;$D10&amp;",")),1,0)</f>
        <v>0</v>
      </c>
      <c r="L10" s="6" t="n">
        <f aca="false">IF(ISNUMBER(SEARCH(","&amp;L$1&amp;",",","&amp;$D10&amp;",")),1,0)</f>
        <v>1</v>
      </c>
      <c r="M10" s="6" t="n">
        <f aca="false">IF(ISNUMBER(SEARCH(","&amp;M$1&amp;",",","&amp;$D10&amp;",")),1,0)</f>
        <v>0</v>
      </c>
      <c r="N10" s="6" t="n">
        <f aca="false">IF(ISNUMBER(SEARCH(","&amp;N$1&amp;",",","&amp;$D10&amp;",")),1,0)</f>
        <v>0</v>
      </c>
    </row>
    <row r="11" customFormat="false" ht="23.85" hidden="false" customHeight="false" outlineLevel="0" collapsed="false">
      <c r="A11" s="2" t="s">
        <v>14</v>
      </c>
      <c r="B11" s="2" t="s">
        <v>44</v>
      </c>
      <c r="C11" s="3" t="s">
        <v>45</v>
      </c>
      <c r="D11" s="4" t="s">
        <v>36</v>
      </c>
      <c r="E11" s="5" t="s">
        <v>46</v>
      </c>
      <c r="F11" s="6" t="n">
        <f aca="false">IF(ISNUMBER(SEARCH(","&amp;F$1&amp;",",","&amp;$D11&amp;",")),1,0)</f>
        <v>0</v>
      </c>
      <c r="G11" s="6" t="n">
        <f aca="false">IF(ISNUMBER(SEARCH(","&amp;G$1&amp;",",","&amp;$D11&amp;",")),1,0)</f>
        <v>0</v>
      </c>
      <c r="H11" s="6" t="n">
        <f aca="false">IF(ISNUMBER(SEARCH(","&amp;H$1&amp;",",","&amp;$D11&amp;",")),1,0)</f>
        <v>0</v>
      </c>
      <c r="I11" s="6" t="n">
        <f aca="false">IF(ISNUMBER(SEARCH(","&amp;I$1&amp;",",","&amp;$D11&amp;",")),1,0)</f>
        <v>1</v>
      </c>
      <c r="J11" s="6" t="n">
        <f aca="false">IF(ISNUMBER(SEARCH(","&amp;J$1&amp;",",","&amp;$D11&amp;",")),1,0)</f>
        <v>0</v>
      </c>
      <c r="K11" s="6" t="n">
        <f aca="false">IF(ISNUMBER(SEARCH(","&amp;K$1&amp;",",","&amp;$D11&amp;",")),1,0)</f>
        <v>0</v>
      </c>
      <c r="L11" s="6" t="n">
        <f aca="false">IF(ISNUMBER(SEARCH(","&amp;L$1&amp;",",","&amp;$D11&amp;",")),1,0)</f>
        <v>1</v>
      </c>
      <c r="M11" s="6" t="n">
        <f aca="false">IF(ISNUMBER(SEARCH(","&amp;M$1&amp;",",","&amp;$D11&amp;",")),1,0)</f>
        <v>0</v>
      </c>
      <c r="N11" s="6" t="n">
        <f aca="false">IF(ISNUMBER(SEARCH(","&amp;N$1&amp;",",","&amp;$D11&amp;",")),1,0)</f>
        <v>0</v>
      </c>
    </row>
    <row r="12" customFormat="false" ht="23.85" hidden="false" customHeight="false" outlineLevel="0" collapsed="false">
      <c r="A12" s="2" t="s">
        <v>14</v>
      </c>
      <c r="B12" s="2" t="s">
        <v>47</v>
      </c>
      <c r="C12" s="3" t="s">
        <v>48</v>
      </c>
      <c r="D12" s="4" t="s">
        <v>11</v>
      </c>
      <c r="E12" s="5" t="s">
        <v>49</v>
      </c>
      <c r="F12" s="6" t="n">
        <f aca="false">IF(ISNUMBER(SEARCH(","&amp;F$1&amp;",",","&amp;$D12&amp;",")),1,0)</f>
        <v>0</v>
      </c>
      <c r="G12" s="6" t="n">
        <f aca="false">IF(ISNUMBER(SEARCH(","&amp;G$1&amp;",",","&amp;$D12&amp;",")),1,0)</f>
        <v>0</v>
      </c>
      <c r="H12" s="6" t="n">
        <f aca="false">IF(ISNUMBER(SEARCH(","&amp;H$1&amp;",",","&amp;$D12&amp;",")),1,0)</f>
        <v>0</v>
      </c>
      <c r="I12" s="6" t="n">
        <f aca="false">IF(ISNUMBER(SEARCH(","&amp;I$1&amp;",",","&amp;$D12&amp;",")),1,0)</f>
        <v>0</v>
      </c>
      <c r="J12" s="6" t="n">
        <f aca="false">IF(ISNUMBER(SEARCH(","&amp;J$1&amp;",",","&amp;$D12&amp;",")),1,0)</f>
        <v>0</v>
      </c>
      <c r="K12" s="6" t="n">
        <f aca="false">IF(ISNUMBER(SEARCH(","&amp;K$1&amp;",",","&amp;$D12&amp;",")),1,0)</f>
        <v>0</v>
      </c>
      <c r="L12" s="6" t="n">
        <f aca="false">IF(ISNUMBER(SEARCH(","&amp;L$1&amp;",",","&amp;$D12&amp;",")),1,0)</f>
        <v>1</v>
      </c>
      <c r="M12" s="6" t="n">
        <f aca="false">IF(ISNUMBER(SEARCH(","&amp;M$1&amp;",",","&amp;$D12&amp;",")),1,0)</f>
        <v>0</v>
      </c>
      <c r="N12" s="6" t="n">
        <f aca="false">IF(ISNUMBER(SEARCH(","&amp;N$1&amp;",",","&amp;$D12&amp;",")),1,0)</f>
        <v>0</v>
      </c>
    </row>
    <row r="13" customFormat="false" ht="23.85" hidden="false" customHeight="false" outlineLevel="0" collapsed="false">
      <c r="A13" s="2" t="s">
        <v>14</v>
      </c>
      <c r="B13" s="2" t="s">
        <v>50</v>
      </c>
      <c r="C13" s="3" t="s">
        <v>51</v>
      </c>
      <c r="D13" s="4" t="s">
        <v>5</v>
      </c>
      <c r="E13" s="5" t="s">
        <v>52</v>
      </c>
      <c r="F13" s="6" t="n">
        <f aca="false">IF(ISNUMBER(SEARCH(","&amp;F$1&amp;",",","&amp;$D13&amp;",")),1,0)</f>
        <v>1</v>
      </c>
      <c r="G13" s="6" t="n">
        <f aca="false">IF(ISNUMBER(SEARCH(","&amp;G$1&amp;",",","&amp;$D13&amp;",")),1,0)</f>
        <v>0</v>
      </c>
      <c r="H13" s="6" t="n">
        <f aca="false">IF(ISNUMBER(SEARCH(","&amp;H$1&amp;",",","&amp;$D13&amp;",")),1,0)</f>
        <v>0</v>
      </c>
      <c r="I13" s="6" t="n">
        <f aca="false">IF(ISNUMBER(SEARCH(","&amp;I$1&amp;",",","&amp;$D13&amp;",")),1,0)</f>
        <v>0</v>
      </c>
      <c r="J13" s="6" t="n">
        <f aca="false">IF(ISNUMBER(SEARCH(","&amp;J$1&amp;",",","&amp;$D13&amp;",")),1,0)</f>
        <v>0</v>
      </c>
      <c r="K13" s="6" t="n">
        <f aca="false">IF(ISNUMBER(SEARCH(","&amp;K$1&amp;",",","&amp;$D13&amp;",")),1,0)</f>
        <v>0</v>
      </c>
      <c r="L13" s="6" t="n">
        <f aca="false">IF(ISNUMBER(SEARCH(","&amp;L$1&amp;",",","&amp;$D13&amp;",")),1,0)</f>
        <v>0</v>
      </c>
      <c r="M13" s="6" t="n">
        <f aca="false">IF(ISNUMBER(SEARCH(","&amp;M$1&amp;",",","&amp;$D13&amp;",")),1,0)</f>
        <v>0</v>
      </c>
      <c r="N13" s="6" t="n">
        <f aca="false">IF(ISNUMBER(SEARCH(","&amp;N$1&amp;",",","&amp;$D13&amp;",")),1,0)</f>
        <v>0</v>
      </c>
    </row>
    <row r="14" customFormat="false" ht="23.85" hidden="false" customHeight="false" outlineLevel="0" collapsed="false">
      <c r="A14" s="2" t="s">
        <v>14</v>
      </c>
      <c r="B14" s="2" t="s">
        <v>53</v>
      </c>
      <c r="C14" s="3" t="s">
        <v>54</v>
      </c>
      <c r="D14" s="4" t="s">
        <v>5</v>
      </c>
      <c r="E14" s="5" t="s">
        <v>55</v>
      </c>
      <c r="F14" s="6" t="n">
        <f aca="false">IF(ISNUMBER(SEARCH(","&amp;F$1&amp;",",","&amp;$D14&amp;",")),1,0)</f>
        <v>1</v>
      </c>
      <c r="G14" s="6" t="n">
        <f aca="false">IF(ISNUMBER(SEARCH(","&amp;G$1&amp;",",","&amp;$D14&amp;",")),1,0)</f>
        <v>0</v>
      </c>
      <c r="H14" s="6" t="n">
        <f aca="false">IF(ISNUMBER(SEARCH(","&amp;H$1&amp;",",","&amp;$D14&amp;",")),1,0)</f>
        <v>0</v>
      </c>
      <c r="I14" s="6" t="n">
        <f aca="false">IF(ISNUMBER(SEARCH(","&amp;I$1&amp;",",","&amp;$D14&amp;",")),1,0)</f>
        <v>0</v>
      </c>
      <c r="J14" s="6" t="n">
        <f aca="false">IF(ISNUMBER(SEARCH(","&amp;J$1&amp;",",","&amp;$D14&amp;",")),1,0)</f>
        <v>0</v>
      </c>
      <c r="K14" s="6" t="n">
        <f aca="false">IF(ISNUMBER(SEARCH(","&amp;K$1&amp;",",","&amp;$D14&amp;",")),1,0)</f>
        <v>0</v>
      </c>
      <c r="L14" s="6" t="n">
        <f aca="false">IF(ISNUMBER(SEARCH(","&amp;L$1&amp;",",","&amp;$D14&amp;",")),1,0)</f>
        <v>0</v>
      </c>
      <c r="M14" s="6" t="n">
        <f aca="false">IF(ISNUMBER(SEARCH(","&amp;M$1&amp;",",","&amp;$D14&amp;",")),1,0)</f>
        <v>0</v>
      </c>
      <c r="N14" s="6" t="n">
        <f aca="false">IF(ISNUMBER(SEARCH(","&amp;N$1&amp;",",","&amp;$D14&amp;",")),1,0)</f>
        <v>0</v>
      </c>
    </row>
    <row r="15" customFormat="false" ht="23.85" hidden="false" customHeight="false" outlineLevel="0" collapsed="false">
      <c r="A15" s="2" t="s">
        <v>14</v>
      </c>
      <c r="B15" s="2" t="s">
        <v>56</v>
      </c>
      <c r="C15" s="3" t="s">
        <v>57</v>
      </c>
      <c r="D15" s="4" t="s">
        <v>5</v>
      </c>
      <c r="E15" s="5" t="s">
        <v>58</v>
      </c>
      <c r="F15" s="6" t="n">
        <f aca="false">IF(ISNUMBER(SEARCH(","&amp;F$1&amp;",",","&amp;$D15&amp;",")),1,0)</f>
        <v>1</v>
      </c>
      <c r="G15" s="6" t="n">
        <f aca="false">IF(ISNUMBER(SEARCH(","&amp;G$1&amp;",",","&amp;$D15&amp;",")),1,0)</f>
        <v>0</v>
      </c>
      <c r="H15" s="6" t="n">
        <f aca="false">IF(ISNUMBER(SEARCH(","&amp;H$1&amp;",",","&amp;$D15&amp;",")),1,0)</f>
        <v>0</v>
      </c>
      <c r="I15" s="6" t="n">
        <f aca="false">IF(ISNUMBER(SEARCH(","&amp;I$1&amp;",",","&amp;$D15&amp;",")),1,0)</f>
        <v>0</v>
      </c>
      <c r="J15" s="6" t="n">
        <f aca="false">IF(ISNUMBER(SEARCH(","&amp;J$1&amp;",",","&amp;$D15&amp;",")),1,0)</f>
        <v>0</v>
      </c>
      <c r="K15" s="6" t="n">
        <f aca="false">IF(ISNUMBER(SEARCH(","&amp;K$1&amp;",",","&amp;$D15&amp;",")),1,0)</f>
        <v>0</v>
      </c>
      <c r="L15" s="6" t="n">
        <f aca="false">IF(ISNUMBER(SEARCH(","&amp;L$1&amp;",",","&amp;$D15&amp;",")),1,0)</f>
        <v>0</v>
      </c>
      <c r="M15" s="6" t="n">
        <f aca="false">IF(ISNUMBER(SEARCH(","&amp;M$1&amp;",",","&amp;$D15&amp;",")),1,0)</f>
        <v>0</v>
      </c>
      <c r="N15" s="6" t="n">
        <f aca="false">IF(ISNUMBER(SEARCH(","&amp;N$1&amp;",",","&amp;$D15&amp;",")),1,0)</f>
        <v>0</v>
      </c>
    </row>
    <row r="16" customFormat="false" ht="23.85" hidden="false" customHeight="false" outlineLevel="0" collapsed="false">
      <c r="A16" s="2" t="s">
        <v>14</v>
      </c>
      <c r="B16" s="2" t="s">
        <v>59</v>
      </c>
      <c r="C16" s="3" t="s">
        <v>60</v>
      </c>
      <c r="D16" s="4" t="s">
        <v>5</v>
      </c>
      <c r="E16" s="5" t="s">
        <v>61</v>
      </c>
      <c r="F16" s="6" t="n">
        <f aca="false">IF(ISNUMBER(SEARCH(","&amp;F$1&amp;",",","&amp;$D16&amp;",")),1,0)</f>
        <v>1</v>
      </c>
      <c r="G16" s="6" t="n">
        <f aca="false">IF(ISNUMBER(SEARCH(","&amp;G$1&amp;",",","&amp;$D16&amp;",")),1,0)</f>
        <v>0</v>
      </c>
      <c r="H16" s="6" t="n">
        <f aca="false">IF(ISNUMBER(SEARCH(","&amp;H$1&amp;",",","&amp;$D16&amp;",")),1,0)</f>
        <v>0</v>
      </c>
      <c r="I16" s="6" t="n">
        <f aca="false">IF(ISNUMBER(SEARCH(","&amp;I$1&amp;",",","&amp;$D16&amp;",")),1,0)</f>
        <v>0</v>
      </c>
      <c r="J16" s="6" t="n">
        <f aca="false">IF(ISNUMBER(SEARCH(","&amp;J$1&amp;",",","&amp;$D16&amp;",")),1,0)</f>
        <v>0</v>
      </c>
      <c r="K16" s="6" t="n">
        <f aca="false">IF(ISNUMBER(SEARCH(","&amp;K$1&amp;",",","&amp;$D16&amp;",")),1,0)</f>
        <v>0</v>
      </c>
      <c r="L16" s="6" t="n">
        <f aca="false">IF(ISNUMBER(SEARCH(","&amp;L$1&amp;",",","&amp;$D16&amp;",")),1,0)</f>
        <v>0</v>
      </c>
      <c r="M16" s="6" t="n">
        <f aca="false">IF(ISNUMBER(SEARCH(","&amp;M$1&amp;",",","&amp;$D16&amp;",")),1,0)</f>
        <v>0</v>
      </c>
      <c r="N16" s="6" t="n">
        <f aca="false">IF(ISNUMBER(SEARCH(","&amp;N$1&amp;",",","&amp;$D16&amp;",")),1,0)</f>
        <v>0</v>
      </c>
    </row>
    <row r="17" customFormat="false" ht="23.85" hidden="false" customHeight="false" outlineLevel="0" collapsed="false">
      <c r="A17" s="2" t="s">
        <v>14</v>
      </c>
      <c r="B17" s="2" t="s">
        <v>62</v>
      </c>
      <c r="C17" s="3" t="s">
        <v>63</v>
      </c>
      <c r="D17" s="4" t="s">
        <v>5</v>
      </c>
      <c r="E17" s="5" t="s">
        <v>64</v>
      </c>
      <c r="F17" s="6" t="n">
        <f aca="false">IF(ISNUMBER(SEARCH(","&amp;F$1&amp;",",","&amp;$D17&amp;",")),1,0)</f>
        <v>1</v>
      </c>
      <c r="G17" s="6" t="n">
        <f aca="false">IF(ISNUMBER(SEARCH(","&amp;G$1&amp;",",","&amp;$D17&amp;",")),1,0)</f>
        <v>0</v>
      </c>
      <c r="H17" s="6" t="n">
        <f aca="false">IF(ISNUMBER(SEARCH(","&amp;H$1&amp;",",","&amp;$D17&amp;",")),1,0)</f>
        <v>0</v>
      </c>
      <c r="I17" s="6" t="n">
        <f aca="false">IF(ISNUMBER(SEARCH(","&amp;I$1&amp;",",","&amp;$D17&amp;",")),1,0)</f>
        <v>0</v>
      </c>
      <c r="J17" s="6" t="n">
        <f aca="false">IF(ISNUMBER(SEARCH(","&amp;J$1&amp;",",","&amp;$D17&amp;",")),1,0)</f>
        <v>0</v>
      </c>
      <c r="K17" s="6" t="n">
        <f aca="false">IF(ISNUMBER(SEARCH(","&amp;K$1&amp;",",","&amp;$D17&amp;",")),1,0)</f>
        <v>0</v>
      </c>
      <c r="L17" s="6" t="n">
        <f aca="false">IF(ISNUMBER(SEARCH(","&amp;L$1&amp;",",","&amp;$D17&amp;",")),1,0)</f>
        <v>0</v>
      </c>
      <c r="M17" s="6" t="n">
        <f aca="false">IF(ISNUMBER(SEARCH(","&amp;M$1&amp;",",","&amp;$D17&amp;",")),1,0)</f>
        <v>0</v>
      </c>
      <c r="N17" s="6" t="n">
        <f aca="false">IF(ISNUMBER(SEARCH(","&amp;N$1&amp;",",","&amp;$D17&amp;",")),1,0)</f>
        <v>0</v>
      </c>
    </row>
    <row r="18" customFormat="false" ht="23.85" hidden="false" customHeight="false" outlineLevel="0" collapsed="false">
      <c r="A18" s="2" t="s">
        <v>14</v>
      </c>
      <c r="B18" s="2" t="s">
        <v>65</v>
      </c>
      <c r="C18" s="3" t="s">
        <v>66</v>
      </c>
      <c r="D18" s="4" t="s">
        <v>5</v>
      </c>
      <c r="E18" s="5" t="s">
        <v>67</v>
      </c>
      <c r="F18" s="6" t="n">
        <f aca="false">IF(ISNUMBER(SEARCH(","&amp;F$1&amp;",",","&amp;$D18&amp;",")),1,0)</f>
        <v>1</v>
      </c>
      <c r="G18" s="6" t="n">
        <f aca="false">IF(ISNUMBER(SEARCH(","&amp;G$1&amp;",",","&amp;$D18&amp;",")),1,0)</f>
        <v>0</v>
      </c>
      <c r="H18" s="6" t="n">
        <f aca="false">IF(ISNUMBER(SEARCH(","&amp;H$1&amp;",",","&amp;$D18&amp;",")),1,0)</f>
        <v>0</v>
      </c>
      <c r="I18" s="6" t="n">
        <f aca="false">IF(ISNUMBER(SEARCH(","&amp;I$1&amp;",",","&amp;$D18&amp;",")),1,0)</f>
        <v>0</v>
      </c>
      <c r="J18" s="6" t="n">
        <f aca="false">IF(ISNUMBER(SEARCH(","&amp;J$1&amp;",",","&amp;$D18&amp;",")),1,0)</f>
        <v>0</v>
      </c>
      <c r="K18" s="6" t="n">
        <f aca="false">IF(ISNUMBER(SEARCH(","&amp;K$1&amp;",",","&amp;$D18&amp;",")),1,0)</f>
        <v>0</v>
      </c>
      <c r="L18" s="6" t="n">
        <f aca="false">IF(ISNUMBER(SEARCH(","&amp;L$1&amp;",",","&amp;$D18&amp;",")),1,0)</f>
        <v>0</v>
      </c>
      <c r="M18" s="6" t="n">
        <f aca="false">IF(ISNUMBER(SEARCH(","&amp;M$1&amp;",",","&amp;$D18&amp;",")),1,0)</f>
        <v>0</v>
      </c>
      <c r="N18" s="6" t="n">
        <f aca="false">IF(ISNUMBER(SEARCH(","&amp;N$1&amp;",",","&amp;$D18&amp;",")),1,0)</f>
        <v>0</v>
      </c>
    </row>
    <row r="19" customFormat="false" ht="23.85" hidden="false" customHeight="false" outlineLevel="0" collapsed="false">
      <c r="A19" s="2" t="s">
        <v>14</v>
      </c>
      <c r="B19" s="2" t="s">
        <v>68</v>
      </c>
      <c r="C19" s="3" t="s">
        <v>69</v>
      </c>
      <c r="D19" s="4" t="s">
        <v>5</v>
      </c>
      <c r="E19" s="5" t="s">
        <v>70</v>
      </c>
      <c r="F19" s="6" t="n">
        <f aca="false">IF(ISNUMBER(SEARCH(","&amp;F$1&amp;",",","&amp;$D19&amp;",")),1,0)</f>
        <v>1</v>
      </c>
      <c r="G19" s="6" t="n">
        <f aca="false">IF(ISNUMBER(SEARCH(","&amp;G$1&amp;",",","&amp;$D19&amp;",")),1,0)</f>
        <v>0</v>
      </c>
      <c r="H19" s="6" t="n">
        <f aca="false">IF(ISNUMBER(SEARCH(","&amp;H$1&amp;",",","&amp;$D19&amp;",")),1,0)</f>
        <v>0</v>
      </c>
      <c r="I19" s="6" t="n">
        <f aca="false">IF(ISNUMBER(SEARCH(","&amp;I$1&amp;",",","&amp;$D19&amp;",")),1,0)</f>
        <v>0</v>
      </c>
      <c r="J19" s="6" t="n">
        <f aca="false">IF(ISNUMBER(SEARCH(","&amp;J$1&amp;",",","&amp;$D19&amp;",")),1,0)</f>
        <v>0</v>
      </c>
      <c r="K19" s="6" t="n">
        <f aca="false">IF(ISNUMBER(SEARCH(","&amp;K$1&amp;",",","&amp;$D19&amp;",")),1,0)</f>
        <v>0</v>
      </c>
      <c r="L19" s="6" t="n">
        <f aca="false">IF(ISNUMBER(SEARCH(","&amp;L$1&amp;",",","&amp;$D19&amp;",")),1,0)</f>
        <v>0</v>
      </c>
      <c r="M19" s="6" t="n">
        <f aca="false">IF(ISNUMBER(SEARCH(","&amp;M$1&amp;",",","&amp;$D19&amp;",")),1,0)</f>
        <v>0</v>
      </c>
      <c r="N19" s="6" t="n">
        <f aca="false">IF(ISNUMBER(SEARCH(","&amp;N$1&amp;",",","&amp;$D19&amp;",")),1,0)</f>
        <v>0</v>
      </c>
    </row>
    <row r="20" customFormat="false" ht="23.85" hidden="false" customHeight="false" outlineLevel="0" collapsed="false">
      <c r="A20" s="2" t="s">
        <v>14</v>
      </c>
      <c r="B20" s="2" t="s">
        <v>71</v>
      </c>
      <c r="C20" s="3" t="s">
        <v>72</v>
      </c>
      <c r="D20" s="4" t="s">
        <v>12</v>
      </c>
      <c r="E20" s="5" t="s">
        <v>73</v>
      </c>
      <c r="F20" s="6" t="n">
        <f aca="false">IF(ISNUMBER(SEARCH(","&amp;F$1&amp;",",","&amp;$D20&amp;",")),1,0)</f>
        <v>0</v>
      </c>
      <c r="G20" s="6" t="n">
        <f aca="false">IF(ISNUMBER(SEARCH(","&amp;G$1&amp;",",","&amp;$D20&amp;",")),1,0)</f>
        <v>0</v>
      </c>
      <c r="H20" s="6" t="n">
        <f aca="false">IF(ISNUMBER(SEARCH(","&amp;H$1&amp;",",","&amp;$D20&amp;",")),1,0)</f>
        <v>0</v>
      </c>
      <c r="I20" s="6" t="n">
        <f aca="false">IF(ISNUMBER(SEARCH(","&amp;I$1&amp;",",","&amp;$D20&amp;",")),1,0)</f>
        <v>0</v>
      </c>
      <c r="J20" s="6" t="n">
        <f aca="false">IF(ISNUMBER(SEARCH(","&amp;J$1&amp;",",","&amp;$D20&amp;",")),1,0)</f>
        <v>0</v>
      </c>
      <c r="K20" s="6" t="n">
        <f aca="false">IF(ISNUMBER(SEARCH(","&amp;K$1&amp;",",","&amp;$D20&amp;",")),1,0)</f>
        <v>0</v>
      </c>
      <c r="L20" s="6" t="n">
        <f aca="false">IF(ISNUMBER(SEARCH(","&amp;L$1&amp;",",","&amp;$D20&amp;",")),1,0)</f>
        <v>0</v>
      </c>
      <c r="M20" s="6" t="n">
        <f aca="false">IF(ISNUMBER(SEARCH(","&amp;M$1&amp;",",","&amp;$D20&amp;",")),1,0)</f>
        <v>1</v>
      </c>
      <c r="N20" s="6" t="n">
        <f aca="false">IF(ISNUMBER(SEARCH(","&amp;N$1&amp;",",","&amp;$D20&amp;",")),1,0)</f>
        <v>0</v>
      </c>
    </row>
    <row r="21" customFormat="false" ht="23.85" hidden="false" customHeight="false" outlineLevel="0" collapsed="false">
      <c r="A21" s="2" t="s">
        <v>14</v>
      </c>
      <c r="B21" s="2" t="s">
        <v>74</v>
      </c>
      <c r="C21" s="3" t="s">
        <v>75</v>
      </c>
      <c r="D21" s="4" t="s">
        <v>5</v>
      </c>
      <c r="E21" s="5" t="s">
        <v>76</v>
      </c>
      <c r="F21" s="6" t="n">
        <f aca="false">IF(ISNUMBER(SEARCH(","&amp;F$1&amp;",",","&amp;$D21&amp;",")),1,0)</f>
        <v>1</v>
      </c>
      <c r="G21" s="6" t="n">
        <f aca="false">IF(ISNUMBER(SEARCH(","&amp;G$1&amp;",",","&amp;$D21&amp;",")),1,0)</f>
        <v>0</v>
      </c>
      <c r="H21" s="6" t="n">
        <f aca="false">IF(ISNUMBER(SEARCH(","&amp;H$1&amp;",",","&amp;$D21&amp;",")),1,0)</f>
        <v>0</v>
      </c>
      <c r="I21" s="6" t="n">
        <f aca="false">IF(ISNUMBER(SEARCH(","&amp;I$1&amp;",",","&amp;$D21&amp;",")),1,0)</f>
        <v>0</v>
      </c>
      <c r="J21" s="6" t="n">
        <f aca="false">IF(ISNUMBER(SEARCH(","&amp;J$1&amp;",",","&amp;$D21&amp;",")),1,0)</f>
        <v>0</v>
      </c>
      <c r="K21" s="6" t="n">
        <f aca="false">IF(ISNUMBER(SEARCH(","&amp;K$1&amp;",",","&amp;$D21&amp;",")),1,0)</f>
        <v>0</v>
      </c>
      <c r="L21" s="6" t="n">
        <f aca="false">IF(ISNUMBER(SEARCH(","&amp;L$1&amp;",",","&amp;$D21&amp;",")),1,0)</f>
        <v>0</v>
      </c>
      <c r="M21" s="6" t="n">
        <f aca="false">IF(ISNUMBER(SEARCH(","&amp;M$1&amp;",",","&amp;$D21&amp;",")),1,0)</f>
        <v>0</v>
      </c>
      <c r="N21" s="6" t="n">
        <f aca="false">IF(ISNUMBER(SEARCH(","&amp;N$1&amp;",",","&amp;$D21&amp;",")),1,0)</f>
        <v>0</v>
      </c>
    </row>
    <row r="22" customFormat="false" ht="23.85" hidden="false" customHeight="false" outlineLevel="0" collapsed="false">
      <c r="A22" s="2" t="s">
        <v>14</v>
      </c>
      <c r="B22" s="2" t="s">
        <v>77</v>
      </c>
      <c r="C22" s="3" t="s">
        <v>78</v>
      </c>
      <c r="D22" s="4" t="s">
        <v>6</v>
      </c>
      <c r="E22" s="5" t="s">
        <v>79</v>
      </c>
      <c r="F22" s="6" t="n">
        <f aca="false">IF(ISNUMBER(SEARCH(","&amp;F$1&amp;",",","&amp;$D22&amp;",")),1,0)</f>
        <v>0</v>
      </c>
      <c r="G22" s="6" t="n">
        <f aca="false">IF(ISNUMBER(SEARCH(","&amp;G$1&amp;",",","&amp;$D22&amp;",")),1,0)</f>
        <v>1</v>
      </c>
      <c r="H22" s="6" t="n">
        <f aca="false">IF(ISNUMBER(SEARCH(","&amp;H$1&amp;",",","&amp;$D22&amp;",")),1,0)</f>
        <v>0</v>
      </c>
      <c r="I22" s="6" t="n">
        <f aca="false">IF(ISNUMBER(SEARCH(","&amp;I$1&amp;",",","&amp;$D22&amp;",")),1,0)</f>
        <v>0</v>
      </c>
      <c r="J22" s="6" t="n">
        <f aca="false">IF(ISNUMBER(SEARCH(","&amp;J$1&amp;",",","&amp;$D22&amp;",")),1,0)</f>
        <v>0</v>
      </c>
      <c r="K22" s="6" t="n">
        <f aca="false">IF(ISNUMBER(SEARCH(","&amp;K$1&amp;",",","&amp;$D22&amp;",")),1,0)</f>
        <v>0</v>
      </c>
      <c r="L22" s="6" t="n">
        <f aca="false">IF(ISNUMBER(SEARCH(","&amp;L$1&amp;",",","&amp;$D22&amp;",")),1,0)</f>
        <v>0</v>
      </c>
      <c r="M22" s="6" t="n">
        <f aca="false">IF(ISNUMBER(SEARCH(","&amp;M$1&amp;",",","&amp;$D22&amp;",")),1,0)</f>
        <v>0</v>
      </c>
      <c r="N22" s="6" t="n">
        <f aca="false">IF(ISNUMBER(SEARCH(","&amp;N$1&amp;",",","&amp;$D22&amp;",")),1,0)</f>
        <v>0</v>
      </c>
    </row>
    <row r="23" customFormat="false" ht="23.85" hidden="false" customHeight="false" outlineLevel="0" collapsed="false">
      <c r="A23" s="2" t="s">
        <v>14</v>
      </c>
      <c r="B23" s="2" t="s">
        <v>80</v>
      </c>
      <c r="C23" s="3" t="s">
        <v>81</v>
      </c>
      <c r="D23" s="4" t="s">
        <v>13</v>
      </c>
      <c r="E23" s="5" t="s">
        <v>82</v>
      </c>
      <c r="F23" s="6" t="n">
        <f aca="false">IF(ISNUMBER(SEARCH(","&amp;F$1&amp;",",","&amp;$D23&amp;",")),1,0)</f>
        <v>0</v>
      </c>
      <c r="G23" s="6" t="n">
        <f aca="false">IF(ISNUMBER(SEARCH(","&amp;G$1&amp;",",","&amp;$D23&amp;",")),1,0)</f>
        <v>0</v>
      </c>
      <c r="H23" s="6" t="n">
        <f aca="false">IF(ISNUMBER(SEARCH(","&amp;H$1&amp;",",","&amp;$D23&amp;",")),1,0)</f>
        <v>0</v>
      </c>
      <c r="I23" s="6" t="n">
        <f aca="false">IF(ISNUMBER(SEARCH(","&amp;I$1&amp;",",","&amp;$D23&amp;",")),1,0)</f>
        <v>0</v>
      </c>
      <c r="J23" s="6" t="n">
        <f aca="false">IF(ISNUMBER(SEARCH(","&amp;J$1&amp;",",","&amp;$D23&amp;",")),1,0)</f>
        <v>0</v>
      </c>
      <c r="K23" s="6" t="n">
        <f aca="false">IF(ISNUMBER(SEARCH(","&amp;K$1&amp;",",","&amp;$D23&amp;",")),1,0)</f>
        <v>0</v>
      </c>
      <c r="L23" s="6" t="n">
        <f aca="false">IF(ISNUMBER(SEARCH(","&amp;L$1&amp;",",","&amp;$D23&amp;",")),1,0)</f>
        <v>0</v>
      </c>
      <c r="M23" s="6" t="n">
        <f aca="false">IF(ISNUMBER(SEARCH(","&amp;M$1&amp;",",","&amp;$D23&amp;",")),1,0)</f>
        <v>0</v>
      </c>
      <c r="N23" s="6" t="n">
        <f aca="false">IF(ISNUMBER(SEARCH(","&amp;N$1&amp;",",","&amp;$D23&amp;",")),1,0)</f>
        <v>1</v>
      </c>
    </row>
    <row r="24" customFormat="false" ht="35.05" hidden="false" customHeight="false" outlineLevel="0" collapsed="false">
      <c r="A24" s="2" t="s">
        <v>14</v>
      </c>
      <c r="B24" s="2" t="s">
        <v>83</v>
      </c>
      <c r="C24" s="3" t="s">
        <v>84</v>
      </c>
      <c r="D24" s="4" t="s">
        <v>85</v>
      </c>
      <c r="E24" s="5" t="s">
        <v>86</v>
      </c>
      <c r="F24" s="6" t="n">
        <f aca="false">IF(ISNUMBER(SEARCH(","&amp;F$1&amp;",",","&amp;$D24&amp;",")),1,0)</f>
        <v>1</v>
      </c>
      <c r="G24" s="6" t="n">
        <f aca="false">IF(ISNUMBER(SEARCH(","&amp;G$1&amp;",",","&amp;$D24&amp;",")),1,0)</f>
        <v>0</v>
      </c>
      <c r="H24" s="6" t="n">
        <f aca="false">IF(ISNUMBER(SEARCH(","&amp;H$1&amp;",",","&amp;$D24&amp;",")),1,0)</f>
        <v>0</v>
      </c>
      <c r="I24" s="6" t="n">
        <f aca="false">IF(ISNUMBER(SEARCH(","&amp;I$1&amp;",",","&amp;$D24&amp;",")),1,0)</f>
        <v>0</v>
      </c>
      <c r="J24" s="6" t="n">
        <f aca="false">IF(ISNUMBER(SEARCH(","&amp;J$1&amp;",",","&amp;$D24&amp;",")),1,0)</f>
        <v>0</v>
      </c>
      <c r="K24" s="6" t="n">
        <f aca="false">IF(ISNUMBER(SEARCH(","&amp;K$1&amp;",",","&amp;$D24&amp;",")),1,0)</f>
        <v>0</v>
      </c>
      <c r="L24" s="6" t="n">
        <f aca="false">IF(ISNUMBER(SEARCH(","&amp;L$1&amp;",",","&amp;$D24&amp;",")),1,0)</f>
        <v>0</v>
      </c>
      <c r="M24" s="6" t="n">
        <f aca="false">IF(ISNUMBER(SEARCH(","&amp;M$1&amp;",",","&amp;$D24&amp;",")),1,0)</f>
        <v>0</v>
      </c>
      <c r="N24" s="6" t="n">
        <f aca="false">IF(ISNUMBER(SEARCH(","&amp;N$1&amp;",",","&amp;$D24&amp;",")),1,0)</f>
        <v>1</v>
      </c>
    </row>
    <row r="25" customFormat="false" ht="23.85" hidden="false" customHeight="false" outlineLevel="0" collapsed="false">
      <c r="A25" s="2" t="s">
        <v>14</v>
      </c>
      <c r="B25" s="2" t="s">
        <v>87</v>
      </c>
      <c r="C25" s="3" t="s">
        <v>88</v>
      </c>
      <c r="D25" s="4" t="s">
        <v>85</v>
      </c>
      <c r="E25" s="5" t="s">
        <v>89</v>
      </c>
      <c r="F25" s="6" t="n">
        <f aca="false">IF(ISNUMBER(SEARCH(","&amp;F$1&amp;",",","&amp;$D25&amp;",")),1,0)</f>
        <v>1</v>
      </c>
      <c r="G25" s="6" t="n">
        <f aca="false">IF(ISNUMBER(SEARCH(","&amp;G$1&amp;",",","&amp;$D25&amp;",")),1,0)</f>
        <v>0</v>
      </c>
      <c r="H25" s="6" t="n">
        <f aca="false">IF(ISNUMBER(SEARCH(","&amp;H$1&amp;",",","&amp;$D25&amp;",")),1,0)</f>
        <v>0</v>
      </c>
      <c r="I25" s="6" t="n">
        <f aca="false">IF(ISNUMBER(SEARCH(","&amp;I$1&amp;",",","&amp;$D25&amp;",")),1,0)</f>
        <v>0</v>
      </c>
      <c r="J25" s="6" t="n">
        <f aca="false">IF(ISNUMBER(SEARCH(","&amp;J$1&amp;",",","&amp;$D25&amp;",")),1,0)</f>
        <v>0</v>
      </c>
      <c r="K25" s="6" t="n">
        <f aca="false">IF(ISNUMBER(SEARCH(","&amp;K$1&amp;",",","&amp;$D25&amp;",")),1,0)</f>
        <v>0</v>
      </c>
      <c r="L25" s="6" t="n">
        <f aca="false">IF(ISNUMBER(SEARCH(","&amp;L$1&amp;",",","&amp;$D25&amp;",")),1,0)</f>
        <v>0</v>
      </c>
      <c r="M25" s="6" t="n">
        <f aca="false">IF(ISNUMBER(SEARCH(","&amp;M$1&amp;",",","&amp;$D25&amp;",")),1,0)</f>
        <v>0</v>
      </c>
      <c r="N25" s="6" t="n">
        <f aca="false">IF(ISNUMBER(SEARCH(","&amp;N$1&amp;",",","&amp;$D25&amp;",")),1,0)</f>
        <v>1</v>
      </c>
    </row>
    <row r="26" customFormat="false" ht="35.05" hidden="false" customHeight="false" outlineLevel="0" collapsed="false">
      <c r="A26" s="2" t="s">
        <v>14</v>
      </c>
      <c r="B26" s="2" t="s">
        <v>90</v>
      </c>
      <c r="C26" s="3" t="s">
        <v>91</v>
      </c>
      <c r="D26" s="4" t="s">
        <v>92</v>
      </c>
      <c r="E26" s="5" t="s">
        <v>93</v>
      </c>
      <c r="F26" s="6" t="n">
        <f aca="false">IF(ISNUMBER(SEARCH(","&amp;F$1&amp;",",","&amp;$D26&amp;",")),1,0)</f>
        <v>0</v>
      </c>
      <c r="G26" s="6" t="n">
        <f aca="false">IF(ISNUMBER(SEARCH(","&amp;G$1&amp;",",","&amp;$D26&amp;",")),1,0)</f>
        <v>0</v>
      </c>
      <c r="H26" s="6" t="n">
        <f aca="false">IF(ISNUMBER(SEARCH(","&amp;H$1&amp;",",","&amp;$D26&amp;",")),1,0)</f>
        <v>1</v>
      </c>
      <c r="I26" s="6" t="n">
        <f aca="false">IF(ISNUMBER(SEARCH(","&amp;I$1&amp;",",","&amp;$D26&amp;",")),1,0)</f>
        <v>0</v>
      </c>
      <c r="J26" s="6" t="n">
        <f aca="false">IF(ISNUMBER(SEARCH(","&amp;J$1&amp;",",","&amp;$D26&amp;",")),1,0)</f>
        <v>0</v>
      </c>
      <c r="K26" s="6" t="n">
        <f aca="false">IF(ISNUMBER(SEARCH(","&amp;K$1&amp;",",","&amp;$D26&amp;",")),1,0)</f>
        <v>0</v>
      </c>
      <c r="L26" s="6" t="n">
        <f aca="false">IF(ISNUMBER(SEARCH(","&amp;L$1&amp;",",","&amp;$D26&amp;",")),1,0)</f>
        <v>0</v>
      </c>
      <c r="M26" s="6" t="n">
        <f aca="false">IF(ISNUMBER(SEARCH(","&amp;M$1&amp;",",","&amp;$D26&amp;",")),1,0)</f>
        <v>1</v>
      </c>
      <c r="N26" s="6" t="n">
        <f aca="false">IF(ISNUMBER(SEARCH(","&amp;N$1&amp;",",","&amp;$D26&amp;",")),1,0)</f>
        <v>0</v>
      </c>
    </row>
    <row r="27" customFormat="false" ht="35.05" hidden="false" customHeight="false" outlineLevel="0" collapsed="false">
      <c r="A27" s="2" t="s">
        <v>14</v>
      </c>
      <c r="B27" s="2" t="s">
        <v>94</v>
      </c>
      <c r="C27" s="3" t="s">
        <v>95</v>
      </c>
      <c r="D27" s="4" t="s">
        <v>92</v>
      </c>
      <c r="E27" s="5" t="s">
        <v>96</v>
      </c>
      <c r="F27" s="6" t="n">
        <f aca="false">IF(ISNUMBER(SEARCH(","&amp;F$1&amp;",",","&amp;$D27&amp;",")),1,0)</f>
        <v>0</v>
      </c>
      <c r="G27" s="6" t="n">
        <f aca="false">IF(ISNUMBER(SEARCH(","&amp;G$1&amp;",",","&amp;$D27&amp;",")),1,0)</f>
        <v>0</v>
      </c>
      <c r="H27" s="6" t="n">
        <f aca="false">IF(ISNUMBER(SEARCH(","&amp;H$1&amp;",",","&amp;$D27&amp;",")),1,0)</f>
        <v>1</v>
      </c>
      <c r="I27" s="6" t="n">
        <f aca="false">IF(ISNUMBER(SEARCH(","&amp;I$1&amp;",",","&amp;$D27&amp;",")),1,0)</f>
        <v>0</v>
      </c>
      <c r="J27" s="6" t="n">
        <f aca="false">IF(ISNUMBER(SEARCH(","&amp;J$1&amp;",",","&amp;$D27&amp;",")),1,0)</f>
        <v>0</v>
      </c>
      <c r="K27" s="6" t="n">
        <f aca="false">IF(ISNUMBER(SEARCH(","&amp;K$1&amp;",",","&amp;$D27&amp;",")),1,0)</f>
        <v>0</v>
      </c>
      <c r="L27" s="6" t="n">
        <f aca="false">IF(ISNUMBER(SEARCH(","&amp;L$1&amp;",",","&amp;$D27&amp;",")),1,0)</f>
        <v>0</v>
      </c>
      <c r="M27" s="6" t="n">
        <f aca="false">IF(ISNUMBER(SEARCH(","&amp;M$1&amp;",",","&amp;$D27&amp;",")),1,0)</f>
        <v>1</v>
      </c>
      <c r="N27" s="6" t="n">
        <f aca="false">IF(ISNUMBER(SEARCH(","&amp;N$1&amp;",",","&amp;$D27&amp;",")),1,0)</f>
        <v>0</v>
      </c>
    </row>
    <row r="28" customFormat="false" ht="23.85" hidden="false" customHeight="false" outlineLevel="0" collapsed="false">
      <c r="A28" s="2" t="s">
        <v>14</v>
      </c>
      <c r="B28" s="2" t="s">
        <v>97</v>
      </c>
      <c r="C28" s="3" t="s">
        <v>98</v>
      </c>
      <c r="D28" s="4" t="s">
        <v>12</v>
      </c>
      <c r="E28" s="5" t="s">
        <v>99</v>
      </c>
      <c r="F28" s="6" t="n">
        <f aca="false">IF(ISNUMBER(SEARCH(","&amp;F$1&amp;",",","&amp;$D28&amp;",")),1,0)</f>
        <v>0</v>
      </c>
      <c r="G28" s="6" t="n">
        <f aca="false">IF(ISNUMBER(SEARCH(","&amp;G$1&amp;",",","&amp;$D28&amp;",")),1,0)</f>
        <v>0</v>
      </c>
      <c r="H28" s="6" t="n">
        <f aca="false">IF(ISNUMBER(SEARCH(","&amp;H$1&amp;",",","&amp;$D28&amp;",")),1,0)</f>
        <v>0</v>
      </c>
      <c r="I28" s="6" t="n">
        <f aca="false">IF(ISNUMBER(SEARCH(","&amp;I$1&amp;",",","&amp;$D28&amp;",")),1,0)</f>
        <v>0</v>
      </c>
      <c r="J28" s="6" t="n">
        <f aca="false">IF(ISNUMBER(SEARCH(","&amp;J$1&amp;",",","&amp;$D28&amp;",")),1,0)</f>
        <v>0</v>
      </c>
      <c r="K28" s="6" t="n">
        <f aca="false">IF(ISNUMBER(SEARCH(","&amp;K$1&amp;",",","&amp;$D28&amp;",")),1,0)</f>
        <v>0</v>
      </c>
      <c r="L28" s="6" t="n">
        <f aca="false">IF(ISNUMBER(SEARCH(","&amp;L$1&amp;",",","&amp;$D28&amp;",")),1,0)</f>
        <v>0</v>
      </c>
      <c r="M28" s="6" t="n">
        <f aca="false">IF(ISNUMBER(SEARCH(","&amp;M$1&amp;",",","&amp;$D28&amp;",")),1,0)</f>
        <v>1</v>
      </c>
      <c r="N28" s="6" t="n">
        <f aca="false">IF(ISNUMBER(SEARCH(","&amp;N$1&amp;",",","&amp;$D28&amp;",")),1,0)</f>
        <v>0</v>
      </c>
    </row>
    <row r="29" customFormat="false" ht="23.85" hidden="false" customHeight="false" outlineLevel="0" collapsed="false">
      <c r="A29" s="2" t="s">
        <v>14</v>
      </c>
      <c r="B29" s="2" t="s">
        <v>100</v>
      </c>
      <c r="C29" s="3" t="s">
        <v>101</v>
      </c>
      <c r="D29" s="4" t="s">
        <v>12</v>
      </c>
      <c r="E29" s="5" t="s">
        <v>102</v>
      </c>
      <c r="F29" s="6" t="n">
        <f aca="false">IF(ISNUMBER(SEARCH(","&amp;F$1&amp;",",","&amp;$D29&amp;",")),1,0)</f>
        <v>0</v>
      </c>
      <c r="G29" s="6" t="n">
        <f aca="false">IF(ISNUMBER(SEARCH(","&amp;G$1&amp;",",","&amp;$D29&amp;",")),1,0)</f>
        <v>0</v>
      </c>
      <c r="H29" s="6" t="n">
        <f aca="false">IF(ISNUMBER(SEARCH(","&amp;H$1&amp;",",","&amp;$D29&amp;",")),1,0)</f>
        <v>0</v>
      </c>
      <c r="I29" s="6" t="n">
        <f aca="false">IF(ISNUMBER(SEARCH(","&amp;I$1&amp;",",","&amp;$D29&amp;",")),1,0)</f>
        <v>0</v>
      </c>
      <c r="J29" s="6" t="n">
        <f aca="false">IF(ISNUMBER(SEARCH(","&amp;J$1&amp;",",","&amp;$D29&amp;",")),1,0)</f>
        <v>0</v>
      </c>
      <c r="K29" s="6" t="n">
        <f aca="false">IF(ISNUMBER(SEARCH(","&amp;K$1&amp;",",","&amp;$D29&amp;",")),1,0)</f>
        <v>0</v>
      </c>
      <c r="L29" s="6" t="n">
        <f aca="false">IF(ISNUMBER(SEARCH(","&amp;L$1&amp;",",","&amp;$D29&amp;",")),1,0)</f>
        <v>0</v>
      </c>
      <c r="M29" s="6" t="n">
        <f aca="false">IF(ISNUMBER(SEARCH(","&amp;M$1&amp;",",","&amp;$D29&amp;",")),1,0)</f>
        <v>1</v>
      </c>
      <c r="N29" s="6" t="n">
        <f aca="false">IF(ISNUMBER(SEARCH(","&amp;N$1&amp;",",","&amp;$D29&amp;",")),1,0)</f>
        <v>0</v>
      </c>
    </row>
    <row r="30" customFormat="false" ht="23.85" hidden="false" customHeight="false" outlineLevel="0" collapsed="false">
      <c r="A30" s="2" t="s">
        <v>14</v>
      </c>
      <c r="B30" s="2" t="s">
        <v>103</v>
      </c>
      <c r="C30" s="3" t="s">
        <v>104</v>
      </c>
      <c r="D30" s="4" t="s">
        <v>32</v>
      </c>
      <c r="E30" s="5" t="s">
        <v>105</v>
      </c>
      <c r="F30" s="6" t="n">
        <f aca="false">IF(ISNUMBER(SEARCH(","&amp;F$1&amp;",",","&amp;$D30&amp;",")),1,0)</f>
        <v>0</v>
      </c>
      <c r="G30" s="6" t="n">
        <f aca="false">IF(ISNUMBER(SEARCH(","&amp;G$1&amp;",",","&amp;$D30&amp;",")),1,0)</f>
        <v>1</v>
      </c>
      <c r="H30" s="6" t="n">
        <f aca="false">IF(ISNUMBER(SEARCH(","&amp;H$1&amp;",",","&amp;$D30&amp;",")),1,0)</f>
        <v>0</v>
      </c>
      <c r="I30" s="6" t="n">
        <f aca="false">IF(ISNUMBER(SEARCH(","&amp;I$1&amp;",",","&amp;$D30&amp;",")),1,0)</f>
        <v>0</v>
      </c>
      <c r="J30" s="6" t="n">
        <f aca="false">IF(ISNUMBER(SEARCH(","&amp;J$1&amp;",",","&amp;$D30&amp;",")),1,0)</f>
        <v>0</v>
      </c>
      <c r="K30" s="6" t="n">
        <f aca="false">IF(ISNUMBER(SEARCH(","&amp;K$1&amp;",",","&amp;$D30&amp;",")),1,0)</f>
        <v>0</v>
      </c>
      <c r="L30" s="6" t="n">
        <f aca="false">IF(ISNUMBER(SEARCH(","&amp;L$1&amp;",",","&amp;$D30&amp;",")),1,0)</f>
        <v>0</v>
      </c>
      <c r="M30" s="6" t="n">
        <f aca="false">IF(ISNUMBER(SEARCH(","&amp;M$1&amp;",",","&amp;$D30&amp;",")),1,0)</f>
        <v>1</v>
      </c>
      <c r="N30" s="6" t="n">
        <f aca="false">IF(ISNUMBER(SEARCH(","&amp;N$1&amp;",",","&amp;$D30&amp;",")),1,0)</f>
        <v>0</v>
      </c>
    </row>
    <row r="31" customFormat="false" ht="23.85" hidden="false" customHeight="false" outlineLevel="0" collapsed="false">
      <c r="A31" s="2" t="s">
        <v>14</v>
      </c>
      <c r="B31" s="2" t="s">
        <v>106</v>
      </c>
      <c r="C31" s="3" t="s">
        <v>107</v>
      </c>
      <c r="D31" s="4" t="s">
        <v>5</v>
      </c>
      <c r="E31" s="5" t="s">
        <v>108</v>
      </c>
      <c r="F31" s="6" t="n">
        <f aca="false">IF(ISNUMBER(SEARCH(","&amp;F$1&amp;",",","&amp;$D31&amp;",")),1,0)</f>
        <v>1</v>
      </c>
      <c r="G31" s="6" t="n">
        <f aca="false">IF(ISNUMBER(SEARCH(","&amp;G$1&amp;",",","&amp;$D31&amp;",")),1,0)</f>
        <v>0</v>
      </c>
      <c r="H31" s="6" t="n">
        <f aca="false">IF(ISNUMBER(SEARCH(","&amp;H$1&amp;",",","&amp;$D31&amp;",")),1,0)</f>
        <v>0</v>
      </c>
      <c r="I31" s="6" t="n">
        <f aca="false">IF(ISNUMBER(SEARCH(","&amp;I$1&amp;",",","&amp;$D31&amp;",")),1,0)</f>
        <v>0</v>
      </c>
      <c r="J31" s="6" t="n">
        <f aca="false">IF(ISNUMBER(SEARCH(","&amp;J$1&amp;",",","&amp;$D31&amp;",")),1,0)</f>
        <v>0</v>
      </c>
      <c r="K31" s="6" t="n">
        <f aca="false">IF(ISNUMBER(SEARCH(","&amp;K$1&amp;",",","&amp;$D31&amp;",")),1,0)</f>
        <v>0</v>
      </c>
      <c r="L31" s="6" t="n">
        <f aca="false">IF(ISNUMBER(SEARCH(","&amp;L$1&amp;",",","&amp;$D31&amp;",")),1,0)</f>
        <v>0</v>
      </c>
      <c r="M31" s="6" t="n">
        <f aca="false">IF(ISNUMBER(SEARCH(","&amp;M$1&amp;",",","&amp;$D31&amp;",")),1,0)</f>
        <v>0</v>
      </c>
      <c r="N31" s="6" t="n">
        <f aca="false">IF(ISNUMBER(SEARCH(","&amp;N$1&amp;",",","&amp;$D31&amp;",")),1,0)</f>
        <v>0</v>
      </c>
    </row>
    <row r="32" customFormat="false" ht="23.85" hidden="false" customHeight="false" outlineLevel="0" collapsed="false">
      <c r="A32" s="2" t="s">
        <v>14</v>
      </c>
      <c r="B32" s="2" t="s">
        <v>109</v>
      </c>
      <c r="C32" s="3" t="s">
        <v>110</v>
      </c>
      <c r="D32" s="4" t="s">
        <v>12</v>
      </c>
      <c r="E32" s="5" t="s">
        <v>111</v>
      </c>
      <c r="F32" s="6" t="n">
        <f aca="false">IF(ISNUMBER(SEARCH(","&amp;F$1&amp;",",","&amp;$D32&amp;",")),1,0)</f>
        <v>0</v>
      </c>
      <c r="G32" s="6" t="n">
        <f aca="false">IF(ISNUMBER(SEARCH(","&amp;G$1&amp;",",","&amp;$D32&amp;",")),1,0)</f>
        <v>0</v>
      </c>
      <c r="H32" s="6" t="n">
        <f aca="false">IF(ISNUMBER(SEARCH(","&amp;H$1&amp;",",","&amp;$D32&amp;",")),1,0)</f>
        <v>0</v>
      </c>
      <c r="I32" s="6" t="n">
        <f aca="false">IF(ISNUMBER(SEARCH(","&amp;I$1&amp;",",","&amp;$D32&amp;",")),1,0)</f>
        <v>0</v>
      </c>
      <c r="J32" s="6" t="n">
        <f aca="false">IF(ISNUMBER(SEARCH(","&amp;J$1&amp;",",","&amp;$D32&amp;",")),1,0)</f>
        <v>0</v>
      </c>
      <c r="K32" s="6" t="n">
        <f aca="false">IF(ISNUMBER(SEARCH(","&amp;K$1&amp;",",","&amp;$D32&amp;",")),1,0)</f>
        <v>0</v>
      </c>
      <c r="L32" s="6" t="n">
        <f aca="false">IF(ISNUMBER(SEARCH(","&amp;L$1&amp;",",","&amp;$D32&amp;",")),1,0)</f>
        <v>0</v>
      </c>
      <c r="M32" s="6" t="n">
        <f aca="false">IF(ISNUMBER(SEARCH(","&amp;M$1&amp;",",","&amp;$D32&amp;",")),1,0)</f>
        <v>1</v>
      </c>
      <c r="N32" s="6" t="n">
        <f aca="false">IF(ISNUMBER(SEARCH(","&amp;N$1&amp;",",","&amp;$D32&amp;",")),1,0)</f>
        <v>0</v>
      </c>
    </row>
    <row r="33" customFormat="false" ht="23.85" hidden="false" customHeight="false" outlineLevel="0" collapsed="false">
      <c r="A33" s="2" t="s">
        <v>14</v>
      </c>
      <c r="B33" s="2" t="s">
        <v>112</v>
      </c>
      <c r="C33" s="3" t="s">
        <v>113</v>
      </c>
      <c r="D33" s="4" t="s">
        <v>13</v>
      </c>
      <c r="E33" s="5" t="s">
        <v>114</v>
      </c>
      <c r="F33" s="6" t="n">
        <f aca="false">IF(ISNUMBER(SEARCH(","&amp;F$1&amp;",",","&amp;$D33&amp;",")),1,0)</f>
        <v>0</v>
      </c>
      <c r="G33" s="6" t="n">
        <f aca="false">IF(ISNUMBER(SEARCH(","&amp;G$1&amp;",",","&amp;$D33&amp;",")),1,0)</f>
        <v>0</v>
      </c>
      <c r="H33" s="6" t="n">
        <f aca="false">IF(ISNUMBER(SEARCH(","&amp;H$1&amp;",",","&amp;$D33&amp;",")),1,0)</f>
        <v>0</v>
      </c>
      <c r="I33" s="6" t="n">
        <f aca="false">IF(ISNUMBER(SEARCH(","&amp;I$1&amp;",",","&amp;$D33&amp;",")),1,0)</f>
        <v>0</v>
      </c>
      <c r="J33" s="6" t="n">
        <f aca="false">IF(ISNUMBER(SEARCH(","&amp;J$1&amp;",",","&amp;$D33&amp;",")),1,0)</f>
        <v>0</v>
      </c>
      <c r="K33" s="6" t="n">
        <f aca="false">IF(ISNUMBER(SEARCH(","&amp;K$1&amp;",",","&amp;$D33&amp;",")),1,0)</f>
        <v>0</v>
      </c>
      <c r="L33" s="6" t="n">
        <f aca="false">IF(ISNUMBER(SEARCH(","&amp;L$1&amp;",",","&amp;$D33&amp;",")),1,0)</f>
        <v>0</v>
      </c>
      <c r="M33" s="6" t="n">
        <f aca="false">IF(ISNUMBER(SEARCH(","&amp;M$1&amp;",",","&amp;$D33&amp;",")),1,0)</f>
        <v>0</v>
      </c>
      <c r="N33" s="6" t="n">
        <f aca="false">IF(ISNUMBER(SEARCH(","&amp;N$1&amp;",",","&amp;$D33&amp;",")),1,0)</f>
        <v>1</v>
      </c>
    </row>
    <row r="34" customFormat="false" ht="23.85" hidden="false" customHeight="false" outlineLevel="0" collapsed="false">
      <c r="A34" s="2" t="s">
        <v>14</v>
      </c>
      <c r="B34" s="2" t="s">
        <v>115</v>
      </c>
      <c r="C34" s="3" t="s">
        <v>116</v>
      </c>
      <c r="D34" s="4" t="s">
        <v>12</v>
      </c>
      <c r="E34" s="5" t="s">
        <v>117</v>
      </c>
      <c r="F34" s="6" t="n">
        <f aca="false">IF(ISNUMBER(SEARCH(","&amp;F$1&amp;",",","&amp;$D34&amp;",")),1,0)</f>
        <v>0</v>
      </c>
      <c r="G34" s="6" t="n">
        <f aca="false">IF(ISNUMBER(SEARCH(","&amp;G$1&amp;",",","&amp;$D34&amp;",")),1,0)</f>
        <v>0</v>
      </c>
      <c r="H34" s="6" t="n">
        <f aca="false">IF(ISNUMBER(SEARCH(","&amp;H$1&amp;",",","&amp;$D34&amp;",")),1,0)</f>
        <v>0</v>
      </c>
      <c r="I34" s="6" t="n">
        <f aca="false">IF(ISNUMBER(SEARCH(","&amp;I$1&amp;",",","&amp;$D34&amp;",")),1,0)</f>
        <v>0</v>
      </c>
      <c r="J34" s="6" t="n">
        <f aca="false">IF(ISNUMBER(SEARCH(","&amp;J$1&amp;",",","&amp;$D34&amp;",")),1,0)</f>
        <v>0</v>
      </c>
      <c r="K34" s="6" t="n">
        <f aca="false">IF(ISNUMBER(SEARCH(","&amp;K$1&amp;",",","&amp;$D34&amp;",")),1,0)</f>
        <v>0</v>
      </c>
      <c r="L34" s="6" t="n">
        <f aca="false">IF(ISNUMBER(SEARCH(","&amp;L$1&amp;",",","&amp;$D34&amp;",")),1,0)</f>
        <v>0</v>
      </c>
      <c r="M34" s="6" t="n">
        <f aca="false">IF(ISNUMBER(SEARCH(","&amp;M$1&amp;",",","&amp;$D34&amp;",")),1,0)</f>
        <v>1</v>
      </c>
      <c r="N34" s="6" t="n">
        <f aca="false">IF(ISNUMBER(SEARCH(","&amp;N$1&amp;",",","&amp;$D34&amp;",")),1,0)</f>
        <v>0</v>
      </c>
    </row>
    <row r="35" customFormat="false" ht="23.85" hidden="false" customHeight="false" outlineLevel="0" collapsed="false">
      <c r="A35" s="2" t="s">
        <v>14</v>
      </c>
      <c r="B35" s="2" t="s">
        <v>118</v>
      </c>
      <c r="C35" s="3" t="s">
        <v>119</v>
      </c>
      <c r="D35" s="4" t="s">
        <v>12</v>
      </c>
      <c r="E35" s="5" t="s">
        <v>120</v>
      </c>
      <c r="F35" s="6" t="n">
        <f aca="false">IF(ISNUMBER(SEARCH(","&amp;F$1&amp;",",","&amp;$D35&amp;",")),1,0)</f>
        <v>0</v>
      </c>
      <c r="G35" s="6" t="n">
        <f aca="false">IF(ISNUMBER(SEARCH(","&amp;G$1&amp;",",","&amp;$D35&amp;",")),1,0)</f>
        <v>0</v>
      </c>
      <c r="H35" s="6" t="n">
        <f aca="false">IF(ISNUMBER(SEARCH(","&amp;H$1&amp;",",","&amp;$D35&amp;",")),1,0)</f>
        <v>0</v>
      </c>
      <c r="I35" s="6" t="n">
        <f aca="false">IF(ISNUMBER(SEARCH(","&amp;I$1&amp;",",","&amp;$D35&amp;",")),1,0)</f>
        <v>0</v>
      </c>
      <c r="J35" s="6" t="n">
        <f aca="false">IF(ISNUMBER(SEARCH(","&amp;J$1&amp;",",","&amp;$D35&amp;",")),1,0)</f>
        <v>0</v>
      </c>
      <c r="K35" s="6" t="n">
        <f aca="false">IF(ISNUMBER(SEARCH(","&amp;K$1&amp;",",","&amp;$D35&amp;",")),1,0)</f>
        <v>0</v>
      </c>
      <c r="L35" s="6" t="n">
        <f aca="false">IF(ISNUMBER(SEARCH(","&amp;L$1&amp;",",","&amp;$D35&amp;",")),1,0)</f>
        <v>0</v>
      </c>
      <c r="M35" s="6" t="n">
        <f aca="false">IF(ISNUMBER(SEARCH(","&amp;M$1&amp;",",","&amp;$D35&amp;",")),1,0)</f>
        <v>1</v>
      </c>
      <c r="N35" s="6" t="n">
        <f aca="false">IF(ISNUMBER(SEARCH(","&amp;N$1&amp;",",","&amp;$D35&amp;",")),1,0)</f>
        <v>0</v>
      </c>
    </row>
    <row r="36" customFormat="false" ht="23.85" hidden="false" customHeight="false" outlineLevel="0" collapsed="false">
      <c r="A36" s="2" t="s">
        <v>14</v>
      </c>
      <c r="B36" s="2" t="s">
        <v>121</v>
      </c>
      <c r="C36" s="3" t="s">
        <v>122</v>
      </c>
      <c r="D36" s="4" t="s">
        <v>5</v>
      </c>
      <c r="E36" s="5" t="s">
        <v>123</v>
      </c>
      <c r="F36" s="6" t="n">
        <f aca="false">IF(ISNUMBER(SEARCH(","&amp;F$1&amp;",",","&amp;$D36&amp;",")),1,0)</f>
        <v>1</v>
      </c>
      <c r="G36" s="6" t="n">
        <f aca="false">IF(ISNUMBER(SEARCH(","&amp;G$1&amp;",",","&amp;$D36&amp;",")),1,0)</f>
        <v>0</v>
      </c>
      <c r="H36" s="6" t="n">
        <f aca="false">IF(ISNUMBER(SEARCH(","&amp;H$1&amp;",",","&amp;$D36&amp;",")),1,0)</f>
        <v>0</v>
      </c>
      <c r="I36" s="6" t="n">
        <f aca="false">IF(ISNUMBER(SEARCH(","&amp;I$1&amp;",",","&amp;$D36&amp;",")),1,0)</f>
        <v>0</v>
      </c>
      <c r="J36" s="6" t="n">
        <f aca="false">IF(ISNUMBER(SEARCH(","&amp;J$1&amp;",",","&amp;$D36&amp;",")),1,0)</f>
        <v>0</v>
      </c>
      <c r="K36" s="6" t="n">
        <f aca="false">IF(ISNUMBER(SEARCH(","&amp;K$1&amp;",",","&amp;$D36&amp;",")),1,0)</f>
        <v>0</v>
      </c>
      <c r="L36" s="6" t="n">
        <f aca="false">IF(ISNUMBER(SEARCH(","&amp;L$1&amp;",",","&amp;$D36&amp;",")),1,0)</f>
        <v>0</v>
      </c>
      <c r="M36" s="6" t="n">
        <f aca="false">IF(ISNUMBER(SEARCH(","&amp;M$1&amp;",",","&amp;$D36&amp;",")),1,0)</f>
        <v>0</v>
      </c>
      <c r="N36" s="6" t="n">
        <f aca="false">IF(ISNUMBER(SEARCH(","&amp;N$1&amp;",",","&amp;$D36&amp;",")),1,0)</f>
        <v>0</v>
      </c>
    </row>
    <row r="37" customFormat="false" ht="23.85" hidden="false" customHeight="false" outlineLevel="0" collapsed="false">
      <c r="A37" s="2" t="s">
        <v>14</v>
      </c>
      <c r="B37" s="2" t="s">
        <v>124</v>
      </c>
      <c r="C37" s="3" t="s">
        <v>125</v>
      </c>
      <c r="D37" s="4" t="s">
        <v>5</v>
      </c>
      <c r="E37" s="5" t="s">
        <v>126</v>
      </c>
      <c r="F37" s="6" t="n">
        <f aca="false">IF(ISNUMBER(SEARCH(","&amp;F$1&amp;",",","&amp;$D37&amp;",")),1,0)</f>
        <v>1</v>
      </c>
      <c r="G37" s="6" t="n">
        <f aca="false">IF(ISNUMBER(SEARCH(","&amp;G$1&amp;",",","&amp;$D37&amp;",")),1,0)</f>
        <v>0</v>
      </c>
      <c r="H37" s="6" t="n">
        <f aca="false">IF(ISNUMBER(SEARCH(","&amp;H$1&amp;",",","&amp;$D37&amp;",")),1,0)</f>
        <v>0</v>
      </c>
      <c r="I37" s="6" t="n">
        <f aca="false">IF(ISNUMBER(SEARCH(","&amp;I$1&amp;",",","&amp;$D37&amp;",")),1,0)</f>
        <v>0</v>
      </c>
      <c r="J37" s="6" t="n">
        <f aca="false">IF(ISNUMBER(SEARCH(","&amp;J$1&amp;",",","&amp;$D37&amp;",")),1,0)</f>
        <v>0</v>
      </c>
      <c r="K37" s="6" t="n">
        <f aca="false">IF(ISNUMBER(SEARCH(","&amp;K$1&amp;",",","&amp;$D37&amp;",")),1,0)</f>
        <v>0</v>
      </c>
      <c r="L37" s="6" t="n">
        <f aca="false">IF(ISNUMBER(SEARCH(","&amp;L$1&amp;",",","&amp;$D37&amp;",")),1,0)</f>
        <v>0</v>
      </c>
      <c r="M37" s="6" t="n">
        <f aca="false">IF(ISNUMBER(SEARCH(","&amp;M$1&amp;",",","&amp;$D37&amp;",")),1,0)</f>
        <v>0</v>
      </c>
      <c r="N37" s="6" t="n">
        <f aca="false">IF(ISNUMBER(SEARCH(","&amp;N$1&amp;",",","&amp;$D37&amp;",")),1,0)</f>
        <v>0</v>
      </c>
    </row>
    <row r="38" customFormat="false" ht="23.85" hidden="false" customHeight="false" outlineLevel="0" collapsed="false">
      <c r="A38" s="2" t="s">
        <v>14</v>
      </c>
      <c r="B38" s="2" t="s">
        <v>127</v>
      </c>
      <c r="C38" s="3" t="s">
        <v>128</v>
      </c>
      <c r="D38" s="4" t="s">
        <v>5</v>
      </c>
      <c r="E38" s="5" t="s">
        <v>129</v>
      </c>
      <c r="F38" s="6" t="n">
        <f aca="false">IF(ISNUMBER(SEARCH(","&amp;F$1&amp;",",","&amp;$D38&amp;",")),1,0)</f>
        <v>1</v>
      </c>
      <c r="G38" s="6" t="n">
        <f aca="false">IF(ISNUMBER(SEARCH(","&amp;G$1&amp;",",","&amp;$D38&amp;",")),1,0)</f>
        <v>0</v>
      </c>
      <c r="H38" s="6" t="n">
        <f aca="false">IF(ISNUMBER(SEARCH(","&amp;H$1&amp;",",","&amp;$D38&amp;",")),1,0)</f>
        <v>0</v>
      </c>
      <c r="I38" s="6" t="n">
        <f aca="false">IF(ISNUMBER(SEARCH(","&amp;I$1&amp;",",","&amp;$D38&amp;",")),1,0)</f>
        <v>0</v>
      </c>
      <c r="J38" s="6" t="n">
        <f aca="false">IF(ISNUMBER(SEARCH(","&amp;J$1&amp;",",","&amp;$D38&amp;",")),1,0)</f>
        <v>0</v>
      </c>
      <c r="K38" s="6" t="n">
        <f aca="false">IF(ISNUMBER(SEARCH(","&amp;K$1&amp;",",","&amp;$D38&amp;",")),1,0)</f>
        <v>0</v>
      </c>
      <c r="L38" s="6" t="n">
        <f aca="false">IF(ISNUMBER(SEARCH(","&amp;L$1&amp;",",","&amp;$D38&amp;",")),1,0)</f>
        <v>0</v>
      </c>
      <c r="M38" s="6" t="n">
        <f aca="false">IF(ISNUMBER(SEARCH(","&amp;M$1&amp;",",","&amp;$D38&amp;",")),1,0)</f>
        <v>0</v>
      </c>
      <c r="N38" s="6" t="n">
        <f aca="false">IF(ISNUMBER(SEARCH(","&amp;N$1&amp;",",","&amp;$D38&amp;",")),1,0)</f>
        <v>0</v>
      </c>
    </row>
    <row r="39" customFormat="false" ht="23.85" hidden="false" customHeight="false" outlineLevel="0" collapsed="false">
      <c r="A39" s="2" t="s">
        <v>14</v>
      </c>
      <c r="B39" s="2" t="s">
        <v>130</v>
      </c>
      <c r="C39" s="3" t="s">
        <v>131</v>
      </c>
      <c r="D39" s="4" t="s">
        <v>12</v>
      </c>
      <c r="E39" s="5" t="s">
        <v>132</v>
      </c>
      <c r="F39" s="6" t="n">
        <f aca="false">IF(ISNUMBER(SEARCH(","&amp;F$1&amp;",",","&amp;$D39&amp;",")),1,0)</f>
        <v>0</v>
      </c>
      <c r="G39" s="6" t="n">
        <f aca="false">IF(ISNUMBER(SEARCH(","&amp;G$1&amp;",",","&amp;$D39&amp;",")),1,0)</f>
        <v>0</v>
      </c>
      <c r="H39" s="6" t="n">
        <f aca="false">IF(ISNUMBER(SEARCH(","&amp;H$1&amp;",",","&amp;$D39&amp;",")),1,0)</f>
        <v>0</v>
      </c>
      <c r="I39" s="6" t="n">
        <f aca="false">IF(ISNUMBER(SEARCH(","&amp;I$1&amp;",",","&amp;$D39&amp;",")),1,0)</f>
        <v>0</v>
      </c>
      <c r="J39" s="6" t="n">
        <f aca="false">IF(ISNUMBER(SEARCH(","&amp;J$1&amp;",",","&amp;$D39&amp;",")),1,0)</f>
        <v>0</v>
      </c>
      <c r="K39" s="6" t="n">
        <f aca="false">IF(ISNUMBER(SEARCH(","&amp;K$1&amp;",",","&amp;$D39&amp;",")),1,0)</f>
        <v>0</v>
      </c>
      <c r="L39" s="6" t="n">
        <f aca="false">IF(ISNUMBER(SEARCH(","&amp;L$1&amp;",",","&amp;$D39&amp;",")),1,0)</f>
        <v>0</v>
      </c>
      <c r="M39" s="6" t="n">
        <f aca="false">IF(ISNUMBER(SEARCH(","&amp;M$1&amp;",",","&amp;$D39&amp;",")),1,0)</f>
        <v>1</v>
      </c>
      <c r="N39" s="6" t="n">
        <f aca="false">IF(ISNUMBER(SEARCH(","&amp;N$1&amp;",",","&amp;$D39&amp;",")),1,0)</f>
        <v>0</v>
      </c>
    </row>
    <row r="40" customFormat="false" ht="23.85" hidden="false" customHeight="false" outlineLevel="0" collapsed="false">
      <c r="A40" s="2" t="s">
        <v>14</v>
      </c>
      <c r="B40" s="2" t="s">
        <v>133</v>
      </c>
      <c r="C40" s="3" t="s">
        <v>134</v>
      </c>
      <c r="D40" s="4" t="s">
        <v>12</v>
      </c>
      <c r="E40" s="5" t="s">
        <v>135</v>
      </c>
      <c r="F40" s="6" t="n">
        <f aca="false">IF(ISNUMBER(SEARCH(","&amp;F$1&amp;",",","&amp;$D40&amp;",")),1,0)</f>
        <v>0</v>
      </c>
      <c r="G40" s="6" t="n">
        <f aca="false">IF(ISNUMBER(SEARCH(","&amp;G$1&amp;",",","&amp;$D40&amp;",")),1,0)</f>
        <v>0</v>
      </c>
      <c r="H40" s="6" t="n">
        <f aca="false">IF(ISNUMBER(SEARCH(","&amp;H$1&amp;",",","&amp;$D40&amp;",")),1,0)</f>
        <v>0</v>
      </c>
      <c r="I40" s="6" t="n">
        <f aca="false">IF(ISNUMBER(SEARCH(","&amp;I$1&amp;",",","&amp;$D40&amp;",")),1,0)</f>
        <v>0</v>
      </c>
      <c r="J40" s="6" t="n">
        <f aca="false">IF(ISNUMBER(SEARCH(","&amp;J$1&amp;",",","&amp;$D40&amp;",")),1,0)</f>
        <v>0</v>
      </c>
      <c r="K40" s="6" t="n">
        <f aca="false">IF(ISNUMBER(SEARCH(","&amp;K$1&amp;",",","&amp;$D40&amp;",")),1,0)</f>
        <v>0</v>
      </c>
      <c r="L40" s="6" t="n">
        <f aca="false">IF(ISNUMBER(SEARCH(","&amp;L$1&amp;",",","&amp;$D40&amp;",")),1,0)</f>
        <v>0</v>
      </c>
      <c r="M40" s="6" t="n">
        <f aca="false">IF(ISNUMBER(SEARCH(","&amp;M$1&amp;",",","&amp;$D40&amp;",")),1,0)</f>
        <v>1</v>
      </c>
      <c r="N40" s="6" t="n">
        <f aca="false">IF(ISNUMBER(SEARCH(","&amp;N$1&amp;",",","&amp;$D40&amp;",")),1,0)</f>
        <v>0</v>
      </c>
    </row>
    <row r="41" customFormat="false" ht="23.85" hidden="false" customHeight="false" outlineLevel="0" collapsed="false">
      <c r="A41" s="2" t="s">
        <v>14</v>
      </c>
      <c r="B41" s="2" t="s">
        <v>136</v>
      </c>
      <c r="C41" s="3" t="s">
        <v>137</v>
      </c>
      <c r="D41" s="4" t="s">
        <v>32</v>
      </c>
      <c r="E41" s="5" t="s">
        <v>138</v>
      </c>
      <c r="F41" s="6" t="n">
        <f aca="false">IF(ISNUMBER(SEARCH(","&amp;F$1&amp;",",","&amp;$D41&amp;",")),1,0)</f>
        <v>0</v>
      </c>
      <c r="G41" s="6" t="n">
        <f aca="false">IF(ISNUMBER(SEARCH(","&amp;G$1&amp;",",","&amp;$D41&amp;",")),1,0)</f>
        <v>1</v>
      </c>
      <c r="H41" s="6" t="n">
        <f aca="false">IF(ISNUMBER(SEARCH(","&amp;H$1&amp;",",","&amp;$D41&amp;",")),1,0)</f>
        <v>0</v>
      </c>
      <c r="I41" s="6" t="n">
        <f aca="false">IF(ISNUMBER(SEARCH(","&amp;I$1&amp;",",","&amp;$D41&amp;",")),1,0)</f>
        <v>0</v>
      </c>
      <c r="J41" s="6" t="n">
        <f aca="false">IF(ISNUMBER(SEARCH(","&amp;J$1&amp;",",","&amp;$D41&amp;",")),1,0)</f>
        <v>0</v>
      </c>
      <c r="K41" s="6" t="n">
        <f aca="false">IF(ISNUMBER(SEARCH(","&amp;K$1&amp;",",","&amp;$D41&amp;",")),1,0)</f>
        <v>0</v>
      </c>
      <c r="L41" s="6" t="n">
        <f aca="false">IF(ISNUMBER(SEARCH(","&amp;L$1&amp;",",","&amp;$D41&amp;",")),1,0)</f>
        <v>0</v>
      </c>
      <c r="M41" s="6" t="n">
        <f aca="false">IF(ISNUMBER(SEARCH(","&amp;M$1&amp;",",","&amp;$D41&amp;",")),1,0)</f>
        <v>1</v>
      </c>
      <c r="N41" s="6" t="n">
        <f aca="false">IF(ISNUMBER(SEARCH(","&amp;N$1&amp;",",","&amp;$D41&amp;",")),1,0)</f>
        <v>0</v>
      </c>
    </row>
    <row r="42" customFormat="false" ht="23.85" hidden="false" customHeight="false" outlineLevel="0" collapsed="false">
      <c r="A42" s="2" t="s">
        <v>14</v>
      </c>
      <c r="B42" s="2" t="s">
        <v>139</v>
      </c>
      <c r="C42" s="3" t="s">
        <v>140</v>
      </c>
      <c r="D42" s="4" t="s">
        <v>12</v>
      </c>
      <c r="E42" s="5" t="s">
        <v>141</v>
      </c>
      <c r="F42" s="6" t="n">
        <f aca="false">IF(ISNUMBER(SEARCH(","&amp;F$1&amp;",",","&amp;$D42&amp;",")),1,0)</f>
        <v>0</v>
      </c>
      <c r="G42" s="6" t="n">
        <f aca="false">IF(ISNUMBER(SEARCH(","&amp;G$1&amp;",",","&amp;$D42&amp;",")),1,0)</f>
        <v>0</v>
      </c>
      <c r="H42" s="6" t="n">
        <f aca="false">IF(ISNUMBER(SEARCH(","&amp;H$1&amp;",",","&amp;$D42&amp;",")),1,0)</f>
        <v>0</v>
      </c>
      <c r="I42" s="6" t="n">
        <f aca="false">IF(ISNUMBER(SEARCH(","&amp;I$1&amp;",",","&amp;$D42&amp;",")),1,0)</f>
        <v>0</v>
      </c>
      <c r="J42" s="6" t="n">
        <f aca="false">IF(ISNUMBER(SEARCH(","&amp;J$1&amp;",",","&amp;$D42&amp;",")),1,0)</f>
        <v>0</v>
      </c>
      <c r="K42" s="6" t="n">
        <f aca="false">IF(ISNUMBER(SEARCH(","&amp;K$1&amp;",",","&amp;$D42&amp;",")),1,0)</f>
        <v>0</v>
      </c>
      <c r="L42" s="6" t="n">
        <f aca="false">IF(ISNUMBER(SEARCH(","&amp;L$1&amp;",",","&amp;$D42&amp;",")),1,0)</f>
        <v>0</v>
      </c>
      <c r="M42" s="6" t="n">
        <f aca="false">IF(ISNUMBER(SEARCH(","&amp;M$1&amp;",",","&amp;$D42&amp;",")),1,0)</f>
        <v>1</v>
      </c>
      <c r="N42" s="6" t="n">
        <f aca="false">IF(ISNUMBER(SEARCH(","&amp;N$1&amp;",",","&amp;$D42&amp;",")),1,0)</f>
        <v>0</v>
      </c>
    </row>
    <row r="43" customFormat="false" ht="23.85" hidden="false" customHeight="false" outlineLevel="0" collapsed="false">
      <c r="A43" s="2" t="s">
        <v>14</v>
      </c>
      <c r="B43" s="2" t="s">
        <v>142</v>
      </c>
      <c r="C43" s="3" t="s">
        <v>143</v>
      </c>
      <c r="D43" s="4" t="s">
        <v>12</v>
      </c>
      <c r="E43" s="5" t="s">
        <v>144</v>
      </c>
      <c r="F43" s="6" t="n">
        <f aca="false">IF(ISNUMBER(SEARCH(","&amp;F$1&amp;",",","&amp;$D43&amp;",")),1,0)</f>
        <v>0</v>
      </c>
      <c r="G43" s="6" t="n">
        <f aca="false">IF(ISNUMBER(SEARCH(","&amp;G$1&amp;",",","&amp;$D43&amp;",")),1,0)</f>
        <v>0</v>
      </c>
      <c r="H43" s="6" t="n">
        <f aca="false">IF(ISNUMBER(SEARCH(","&amp;H$1&amp;",",","&amp;$D43&amp;",")),1,0)</f>
        <v>0</v>
      </c>
      <c r="I43" s="6" t="n">
        <f aca="false">IF(ISNUMBER(SEARCH(","&amp;I$1&amp;",",","&amp;$D43&amp;",")),1,0)</f>
        <v>0</v>
      </c>
      <c r="J43" s="6" t="n">
        <f aca="false">IF(ISNUMBER(SEARCH(","&amp;J$1&amp;",",","&amp;$D43&amp;",")),1,0)</f>
        <v>0</v>
      </c>
      <c r="K43" s="6" t="n">
        <f aca="false">IF(ISNUMBER(SEARCH(","&amp;K$1&amp;",",","&amp;$D43&amp;",")),1,0)</f>
        <v>0</v>
      </c>
      <c r="L43" s="6" t="n">
        <f aca="false">IF(ISNUMBER(SEARCH(","&amp;L$1&amp;",",","&amp;$D43&amp;",")),1,0)</f>
        <v>0</v>
      </c>
      <c r="M43" s="6" t="n">
        <f aca="false">IF(ISNUMBER(SEARCH(","&amp;M$1&amp;",",","&amp;$D43&amp;",")),1,0)</f>
        <v>1</v>
      </c>
      <c r="N43" s="6" t="n">
        <f aca="false">IF(ISNUMBER(SEARCH(","&amp;N$1&amp;",",","&amp;$D43&amp;",")),1,0)</f>
        <v>0</v>
      </c>
    </row>
    <row r="44" customFormat="false" ht="23.85" hidden="false" customHeight="false" outlineLevel="0" collapsed="false">
      <c r="A44" s="2" t="s">
        <v>14</v>
      </c>
      <c r="B44" s="2" t="s">
        <v>145</v>
      </c>
      <c r="C44" s="3" t="s">
        <v>146</v>
      </c>
      <c r="D44" s="4" t="s">
        <v>12</v>
      </c>
      <c r="E44" s="5" t="s">
        <v>147</v>
      </c>
      <c r="F44" s="6" t="n">
        <f aca="false">IF(ISNUMBER(SEARCH(","&amp;F$1&amp;",",","&amp;$D44&amp;",")),1,0)</f>
        <v>0</v>
      </c>
      <c r="G44" s="6" t="n">
        <f aca="false">IF(ISNUMBER(SEARCH(","&amp;G$1&amp;",",","&amp;$D44&amp;",")),1,0)</f>
        <v>0</v>
      </c>
      <c r="H44" s="6" t="n">
        <f aca="false">IF(ISNUMBER(SEARCH(","&amp;H$1&amp;",",","&amp;$D44&amp;",")),1,0)</f>
        <v>0</v>
      </c>
      <c r="I44" s="6" t="n">
        <f aca="false">IF(ISNUMBER(SEARCH(","&amp;I$1&amp;",",","&amp;$D44&amp;",")),1,0)</f>
        <v>0</v>
      </c>
      <c r="J44" s="6" t="n">
        <f aca="false">IF(ISNUMBER(SEARCH(","&amp;J$1&amp;",",","&amp;$D44&amp;",")),1,0)</f>
        <v>0</v>
      </c>
      <c r="K44" s="6" t="n">
        <f aca="false">IF(ISNUMBER(SEARCH(","&amp;K$1&amp;",",","&amp;$D44&amp;",")),1,0)</f>
        <v>0</v>
      </c>
      <c r="L44" s="6" t="n">
        <f aca="false">IF(ISNUMBER(SEARCH(","&amp;L$1&amp;",",","&amp;$D44&amp;",")),1,0)</f>
        <v>0</v>
      </c>
      <c r="M44" s="6" t="n">
        <f aca="false">IF(ISNUMBER(SEARCH(","&amp;M$1&amp;",",","&amp;$D44&amp;",")),1,0)</f>
        <v>1</v>
      </c>
      <c r="N44" s="6" t="n">
        <f aca="false">IF(ISNUMBER(SEARCH(","&amp;N$1&amp;",",","&amp;$D44&amp;",")),1,0)</f>
        <v>0</v>
      </c>
    </row>
    <row r="45" customFormat="false" ht="23.85" hidden="false" customHeight="false" outlineLevel="0" collapsed="false">
      <c r="A45" s="2" t="s">
        <v>14</v>
      </c>
      <c r="B45" s="2" t="s">
        <v>148</v>
      </c>
      <c r="C45" s="3" t="s">
        <v>149</v>
      </c>
      <c r="D45" s="4" t="s">
        <v>12</v>
      </c>
      <c r="E45" s="5" t="s">
        <v>150</v>
      </c>
      <c r="F45" s="6" t="n">
        <f aca="false">IF(ISNUMBER(SEARCH(","&amp;F$1&amp;",",","&amp;$D45&amp;",")),1,0)</f>
        <v>0</v>
      </c>
      <c r="G45" s="6" t="n">
        <f aca="false">IF(ISNUMBER(SEARCH(","&amp;G$1&amp;",",","&amp;$D45&amp;",")),1,0)</f>
        <v>0</v>
      </c>
      <c r="H45" s="6" t="n">
        <f aca="false">IF(ISNUMBER(SEARCH(","&amp;H$1&amp;",",","&amp;$D45&amp;",")),1,0)</f>
        <v>0</v>
      </c>
      <c r="I45" s="6" t="n">
        <f aca="false">IF(ISNUMBER(SEARCH(","&amp;I$1&amp;",",","&amp;$D45&amp;",")),1,0)</f>
        <v>0</v>
      </c>
      <c r="J45" s="6" t="n">
        <f aca="false">IF(ISNUMBER(SEARCH(","&amp;J$1&amp;",",","&amp;$D45&amp;",")),1,0)</f>
        <v>0</v>
      </c>
      <c r="K45" s="6" t="n">
        <f aca="false">IF(ISNUMBER(SEARCH(","&amp;K$1&amp;",",","&amp;$D45&amp;",")),1,0)</f>
        <v>0</v>
      </c>
      <c r="L45" s="6" t="n">
        <f aca="false">IF(ISNUMBER(SEARCH(","&amp;L$1&amp;",",","&amp;$D45&amp;",")),1,0)</f>
        <v>0</v>
      </c>
      <c r="M45" s="6" t="n">
        <f aca="false">IF(ISNUMBER(SEARCH(","&amp;M$1&amp;",",","&amp;$D45&amp;",")),1,0)</f>
        <v>1</v>
      </c>
      <c r="N45" s="6" t="n">
        <f aca="false">IF(ISNUMBER(SEARCH(","&amp;N$1&amp;",",","&amp;$D45&amp;",")),1,0)</f>
        <v>0</v>
      </c>
    </row>
    <row r="46" customFormat="false" ht="23.85" hidden="false" customHeight="false" outlineLevel="0" collapsed="false">
      <c r="A46" s="2" t="s">
        <v>14</v>
      </c>
      <c r="B46" s="2" t="s">
        <v>151</v>
      </c>
      <c r="C46" s="3" t="s">
        <v>152</v>
      </c>
      <c r="D46" s="4" t="s">
        <v>12</v>
      </c>
      <c r="E46" s="5" t="s">
        <v>153</v>
      </c>
      <c r="F46" s="6" t="n">
        <f aca="false">IF(ISNUMBER(SEARCH(","&amp;F$1&amp;",",","&amp;$D46&amp;",")),1,0)</f>
        <v>0</v>
      </c>
      <c r="G46" s="6" t="n">
        <f aca="false">IF(ISNUMBER(SEARCH(","&amp;G$1&amp;",",","&amp;$D46&amp;",")),1,0)</f>
        <v>0</v>
      </c>
      <c r="H46" s="6" t="n">
        <f aca="false">IF(ISNUMBER(SEARCH(","&amp;H$1&amp;",",","&amp;$D46&amp;",")),1,0)</f>
        <v>0</v>
      </c>
      <c r="I46" s="6" t="n">
        <f aca="false">IF(ISNUMBER(SEARCH(","&amp;I$1&amp;",",","&amp;$D46&amp;",")),1,0)</f>
        <v>0</v>
      </c>
      <c r="J46" s="6" t="n">
        <f aca="false">IF(ISNUMBER(SEARCH(","&amp;J$1&amp;",",","&amp;$D46&amp;",")),1,0)</f>
        <v>0</v>
      </c>
      <c r="K46" s="6" t="n">
        <f aca="false">IF(ISNUMBER(SEARCH(","&amp;K$1&amp;",",","&amp;$D46&amp;",")),1,0)</f>
        <v>0</v>
      </c>
      <c r="L46" s="6" t="n">
        <f aca="false">IF(ISNUMBER(SEARCH(","&amp;L$1&amp;",",","&amp;$D46&amp;",")),1,0)</f>
        <v>0</v>
      </c>
      <c r="M46" s="6" t="n">
        <f aca="false">IF(ISNUMBER(SEARCH(","&amp;M$1&amp;",",","&amp;$D46&amp;",")),1,0)</f>
        <v>1</v>
      </c>
      <c r="N46" s="6" t="n">
        <f aca="false">IF(ISNUMBER(SEARCH(","&amp;N$1&amp;",",","&amp;$D46&amp;",")),1,0)</f>
        <v>0</v>
      </c>
    </row>
    <row r="47" customFormat="false" ht="23.85" hidden="false" customHeight="false" outlineLevel="0" collapsed="false">
      <c r="A47" s="2" t="s">
        <v>14</v>
      </c>
      <c r="B47" s="2" t="s">
        <v>154</v>
      </c>
      <c r="C47" s="3" t="s">
        <v>155</v>
      </c>
      <c r="D47" s="4" t="s">
        <v>5</v>
      </c>
      <c r="E47" s="5" t="s">
        <v>156</v>
      </c>
      <c r="F47" s="6" t="n">
        <f aca="false">IF(ISNUMBER(SEARCH(","&amp;F$1&amp;",",","&amp;$D47&amp;",")),1,0)</f>
        <v>1</v>
      </c>
      <c r="G47" s="6" t="n">
        <f aca="false">IF(ISNUMBER(SEARCH(","&amp;G$1&amp;",",","&amp;$D47&amp;",")),1,0)</f>
        <v>0</v>
      </c>
      <c r="H47" s="6" t="n">
        <f aca="false">IF(ISNUMBER(SEARCH(","&amp;H$1&amp;",",","&amp;$D47&amp;",")),1,0)</f>
        <v>0</v>
      </c>
      <c r="I47" s="6" t="n">
        <f aca="false">IF(ISNUMBER(SEARCH(","&amp;I$1&amp;",",","&amp;$D47&amp;",")),1,0)</f>
        <v>0</v>
      </c>
      <c r="J47" s="6" t="n">
        <f aca="false">IF(ISNUMBER(SEARCH(","&amp;J$1&amp;",",","&amp;$D47&amp;",")),1,0)</f>
        <v>0</v>
      </c>
      <c r="K47" s="6" t="n">
        <f aca="false">IF(ISNUMBER(SEARCH(","&amp;K$1&amp;",",","&amp;$D47&amp;",")),1,0)</f>
        <v>0</v>
      </c>
      <c r="L47" s="6" t="n">
        <f aca="false">IF(ISNUMBER(SEARCH(","&amp;L$1&amp;",",","&amp;$D47&amp;",")),1,0)</f>
        <v>0</v>
      </c>
      <c r="M47" s="6" t="n">
        <f aca="false">IF(ISNUMBER(SEARCH(","&amp;M$1&amp;",",","&amp;$D47&amp;",")),1,0)</f>
        <v>0</v>
      </c>
      <c r="N47" s="6" t="n">
        <f aca="false">IF(ISNUMBER(SEARCH(","&amp;N$1&amp;",",","&amp;$D47&amp;",")),1,0)</f>
        <v>0</v>
      </c>
    </row>
    <row r="48" customFormat="false" ht="23.85" hidden="false" customHeight="false" outlineLevel="0" collapsed="false">
      <c r="A48" s="2" t="s">
        <v>14</v>
      </c>
      <c r="B48" s="2" t="s">
        <v>157</v>
      </c>
      <c r="C48" s="3" t="s">
        <v>158</v>
      </c>
      <c r="D48" s="4" t="s">
        <v>5</v>
      </c>
      <c r="E48" s="5" t="s">
        <v>159</v>
      </c>
      <c r="F48" s="6" t="n">
        <f aca="false">IF(ISNUMBER(SEARCH(","&amp;F$1&amp;",",","&amp;$D48&amp;",")),1,0)</f>
        <v>1</v>
      </c>
      <c r="G48" s="6" t="n">
        <f aca="false">IF(ISNUMBER(SEARCH(","&amp;G$1&amp;",",","&amp;$D48&amp;",")),1,0)</f>
        <v>0</v>
      </c>
      <c r="H48" s="6" t="n">
        <f aca="false">IF(ISNUMBER(SEARCH(","&amp;H$1&amp;",",","&amp;$D48&amp;",")),1,0)</f>
        <v>0</v>
      </c>
      <c r="I48" s="6" t="n">
        <f aca="false">IF(ISNUMBER(SEARCH(","&amp;I$1&amp;",",","&amp;$D48&amp;",")),1,0)</f>
        <v>0</v>
      </c>
      <c r="J48" s="6" t="n">
        <f aca="false">IF(ISNUMBER(SEARCH(","&amp;J$1&amp;",",","&amp;$D48&amp;",")),1,0)</f>
        <v>0</v>
      </c>
      <c r="K48" s="6" t="n">
        <f aca="false">IF(ISNUMBER(SEARCH(","&amp;K$1&amp;",",","&amp;$D48&amp;",")),1,0)</f>
        <v>0</v>
      </c>
      <c r="L48" s="6" t="n">
        <f aca="false">IF(ISNUMBER(SEARCH(","&amp;L$1&amp;",",","&amp;$D48&amp;",")),1,0)</f>
        <v>0</v>
      </c>
      <c r="M48" s="6" t="n">
        <f aca="false">IF(ISNUMBER(SEARCH(","&amp;M$1&amp;",",","&amp;$D48&amp;",")),1,0)</f>
        <v>0</v>
      </c>
      <c r="N48" s="6" t="n">
        <f aca="false">IF(ISNUMBER(SEARCH(","&amp;N$1&amp;",",","&amp;$D48&amp;",")),1,0)</f>
        <v>0</v>
      </c>
    </row>
    <row r="49" customFormat="false" ht="35.05" hidden="false" customHeight="false" outlineLevel="0" collapsed="false">
      <c r="A49" s="2" t="s">
        <v>14</v>
      </c>
      <c r="B49" s="2" t="s">
        <v>160</v>
      </c>
      <c r="C49" s="3" t="s">
        <v>161</v>
      </c>
      <c r="D49" s="4" t="s">
        <v>7</v>
      </c>
      <c r="E49" s="5" t="s">
        <v>162</v>
      </c>
      <c r="F49" s="6" t="n">
        <f aca="false">IF(ISNUMBER(SEARCH(","&amp;F$1&amp;",",","&amp;$D49&amp;",")),1,0)</f>
        <v>0</v>
      </c>
      <c r="G49" s="6" t="n">
        <f aca="false">IF(ISNUMBER(SEARCH(","&amp;G$1&amp;",",","&amp;$D49&amp;",")),1,0)</f>
        <v>0</v>
      </c>
      <c r="H49" s="6" t="n">
        <f aca="false">IF(ISNUMBER(SEARCH(","&amp;H$1&amp;",",","&amp;$D49&amp;",")),1,0)</f>
        <v>1</v>
      </c>
      <c r="I49" s="6" t="n">
        <f aca="false">IF(ISNUMBER(SEARCH(","&amp;I$1&amp;",",","&amp;$D49&amp;",")),1,0)</f>
        <v>0</v>
      </c>
      <c r="J49" s="6" t="n">
        <f aca="false">IF(ISNUMBER(SEARCH(","&amp;J$1&amp;",",","&amp;$D49&amp;",")),1,0)</f>
        <v>0</v>
      </c>
      <c r="K49" s="6" t="n">
        <f aca="false">IF(ISNUMBER(SEARCH(","&amp;K$1&amp;",",","&amp;$D49&amp;",")),1,0)</f>
        <v>0</v>
      </c>
      <c r="L49" s="6" t="n">
        <f aca="false">IF(ISNUMBER(SEARCH(","&amp;L$1&amp;",",","&amp;$D49&amp;",")),1,0)</f>
        <v>0</v>
      </c>
      <c r="M49" s="6" t="n">
        <f aca="false">IF(ISNUMBER(SEARCH(","&amp;M$1&amp;",",","&amp;$D49&amp;",")),1,0)</f>
        <v>0</v>
      </c>
      <c r="N49" s="6" t="n">
        <f aca="false">IF(ISNUMBER(SEARCH(","&amp;N$1&amp;",",","&amp;$D49&amp;",")),1,0)</f>
        <v>0</v>
      </c>
    </row>
    <row r="50" customFormat="false" ht="23.85" hidden="false" customHeight="false" outlineLevel="0" collapsed="false">
      <c r="A50" s="2" t="s">
        <v>14</v>
      </c>
      <c r="B50" s="2" t="s">
        <v>163</v>
      </c>
      <c r="C50" s="3" t="s">
        <v>164</v>
      </c>
      <c r="D50" s="4" t="s">
        <v>5</v>
      </c>
      <c r="E50" s="5" t="s">
        <v>165</v>
      </c>
      <c r="F50" s="6" t="n">
        <f aca="false">IF(ISNUMBER(SEARCH(","&amp;F$1&amp;",",","&amp;$D50&amp;",")),1,0)</f>
        <v>1</v>
      </c>
      <c r="G50" s="6" t="n">
        <f aca="false">IF(ISNUMBER(SEARCH(","&amp;G$1&amp;",",","&amp;$D50&amp;",")),1,0)</f>
        <v>0</v>
      </c>
      <c r="H50" s="6" t="n">
        <f aca="false">IF(ISNUMBER(SEARCH(","&amp;H$1&amp;",",","&amp;$D50&amp;",")),1,0)</f>
        <v>0</v>
      </c>
      <c r="I50" s="6" t="n">
        <f aca="false">IF(ISNUMBER(SEARCH(","&amp;I$1&amp;",",","&amp;$D50&amp;",")),1,0)</f>
        <v>0</v>
      </c>
      <c r="J50" s="6" t="n">
        <f aca="false">IF(ISNUMBER(SEARCH(","&amp;J$1&amp;",",","&amp;$D50&amp;",")),1,0)</f>
        <v>0</v>
      </c>
      <c r="K50" s="6" t="n">
        <f aca="false">IF(ISNUMBER(SEARCH(","&amp;K$1&amp;",",","&amp;$D50&amp;",")),1,0)</f>
        <v>0</v>
      </c>
      <c r="L50" s="6" t="n">
        <f aca="false">IF(ISNUMBER(SEARCH(","&amp;L$1&amp;",",","&amp;$D50&amp;",")),1,0)</f>
        <v>0</v>
      </c>
      <c r="M50" s="6" t="n">
        <f aca="false">IF(ISNUMBER(SEARCH(","&amp;M$1&amp;",",","&amp;$D50&amp;",")),1,0)</f>
        <v>0</v>
      </c>
      <c r="N50" s="6" t="n">
        <f aca="false">IF(ISNUMBER(SEARCH(","&amp;N$1&amp;",",","&amp;$D50&amp;",")),1,0)</f>
        <v>0</v>
      </c>
    </row>
    <row r="51" customFormat="false" ht="23.85" hidden="false" customHeight="false" outlineLevel="0" collapsed="false">
      <c r="A51" s="2" t="s">
        <v>14</v>
      </c>
      <c r="B51" s="2" t="s">
        <v>166</v>
      </c>
      <c r="C51" s="3" t="s">
        <v>167</v>
      </c>
      <c r="D51" s="4" t="s">
        <v>5</v>
      </c>
      <c r="E51" s="5" t="s">
        <v>168</v>
      </c>
      <c r="F51" s="6" t="n">
        <f aca="false">IF(ISNUMBER(SEARCH(","&amp;F$1&amp;",",","&amp;$D51&amp;",")),1,0)</f>
        <v>1</v>
      </c>
      <c r="G51" s="6" t="n">
        <f aca="false">IF(ISNUMBER(SEARCH(","&amp;G$1&amp;",",","&amp;$D51&amp;",")),1,0)</f>
        <v>0</v>
      </c>
      <c r="H51" s="6" t="n">
        <f aca="false">IF(ISNUMBER(SEARCH(","&amp;H$1&amp;",",","&amp;$D51&amp;",")),1,0)</f>
        <v>0</v>
      </c>
      <c r="I51" s="6" t="n">
        <f aca="false">IF(ISNUMBER(SEARCH(","&amp;I$1&amp;",",","&amp;$D51&amp;",")),1,0)</f>
        <v>0</v>
      </c>
      <c r="J51" s="6" t="n">
        <f aca="false">IF(ISNUMBER(SEARCH(","&amp;J$1&amp;",",","&amp;$D51&amp;",")),1,0)</f>
        <v>0</v>
      </c>
      <c r="K51" s="6" t="n">
        <f aca="false">IF(ISNUMBER(SEARCH(","&amp;K$1&amp;",",","&amp;$D51&amp;",")),1,0)</f>
        <v>0</v>
      </c>
      <c r="L51" s="6" t="n">
        <f aca="false">IF(ISNUMBER(SEARCH(","&amp;L$1&amp;",",","&amp;$D51&amp;",")),1,0)</f>
        <v>0</v>
      </c>
      <c r="M51" s="6" t="n">
        <f aca="false">IF(ISNUMBER(SEARCH(","&amp;M$1&amp;",",","&amp;$D51&amp;",")),1,0)</f>
        <v>0</v>
      </c>
      <c r="N51" s="6" t="n">
        <f aca="false">IF(ISNUMBER(SEARCH(","&amp;N$1&amp;",",","&amp;$D51&amp;",")),1,0)</f>
        <v>0</v>
      </c>
    </row>
    <row r="52" customFormat="false" ht="23.85" hidden="false" customHeight="false" outlineLevel="0" collapsed="false">
      <c r="A52" s="2" t="s">
        <v>14</v>
      </c>
      <c r="B52" s="2" t="s">
        <v>169</v>
      </c>
      <c r="C52" s="3" t="s">
        <v>170</v>
      </c>
      <c r="D52" s="4" t="s">
        <v>12</v>
      </c>
      <c r="E52" s="5" t="s">
        <v>171</v>
      </c>
      <c r="F52" s="6" t="n">
        <f aca="false">IF(ISNUMBER(SEARCH(","&amp;F$1&amp;",",","&amp;$D52&amp;",")),1,0)</f>
        <v>0</v>
      </c>
      <c r="G52" s="6" t="n">
        <f aca="false">IF(ISNUMBER(SEARCH(","&amp;G$1&amp;",",","&amp;$D52&amp;",")),1,0)</f>
        <v>0</v>
      </c>
      <c r="H52" s="6" t="n">
        <f aca="false">IF(ISNUMBER(SEARCH(","&amp;H$1&amp;",",","&amp;$D52&amp;",")),1,0)</f>
        <v>0</v>
      </c>
      <c r="I52" s="6" t="n">
        <f aca="false">IF(ISNUMBER(SEARCH(","&amp;I$1&amp;",",","&amp;$D52&amp;",")),1,0)</f>
        <v>0</v>
      </c>
      <c r="J52" s="6" t="n">
        <f aca="false">IF(ISNUMBER(SEARCH(","&amp;J$1&amp;",",","&amp;$D52&amp;",")),1,0)</f>
        <v>0</v>
      </c>
      <c r="K52" s="6" t="n">
        <f aca="false">IF(ISNUMBER(SEARCH(","&amp;K$1&amp;",",","&amp;$D52&amp;",")),1,0)</f>
        <v>0</v>
      </c>
      <c r="L52" s="6" t="n">
        <f aca="false">IF(ISNUMBER(SEARCH(","&amp;L$1&amp;",",","&amp;$D52&amp;",")),1,0)</f>
        <v>0</v>
      </c>
      <c r="M52" s="6" t="n">
        <f aca="false">IF(ISNUMBER(SEARCH(","&amp;M$1&amp;",",","&amp;$D52&amp;",")),1,0)</f>
        <v>1</v>
      </c>
      <c r="N52" s="6" t="n">
        <f aca="false">IF(ISNUMBER(SEARCH(","&amp;N$1&amp;",",","&amp;$D52&amp;",")),1,0)</f>
        <v>0</v>
      </c>
    </row>
    <row r="53" customFormat="false" ht="23.85" hidden="false" customHeight="false" outlineLevel="0" collapsed="false">
      <c r="A53" s="2" t="s">
        <v>14</v>
      </c>
      <c r="B53" s="2" t="s">
        <v>172</v>
      </c>
      <c r="C53" s="3" t="s">
        <v>173</v>
      </c>
      <c r="D53" s="4" t="s">
        <v>5</v>
      </c>
      <c r="E53" s="5" t="s">
        <v>174</v>
      </c>
      <c r="F53" s="6" t="n">
        <f aca="false">IF(ISNUMBER(SEARCH(","&amp;F$1&amp;",",","&amp;$D53&amp;",")),1,0)</f>
        <v>1</v>
      </c>
      <c r="G53" s="6" t="n">
        <f aca="false">IF(ISNUMBER(SEARCH(","&amp;G$1&amp;",",","&amp;$D53&amp;",")),1,0)</f>
        <v>0</v>
      </c>
      <c r="H53" s="6" t="n">
        <f aca="false">IF(ISNUMBER(SEARCH(","&amp;H$1&amp;",",","&amp;$D53&amp;",")),1,0)</f>
        <v>0</v>
      </c>
      <c r="I53" s="6" t="n">
        <f aca="false">IF(ISNUMBER(SEARCH(","&amp;I$1&amp;",",","&amp;$D53&amp;",")),1,0)</f>
        <v>0</v>
      </c>
      <c r="J53" s="6" t="n">
        <f aca="false">IF(ISNUMBER(SEARCH(","&amp;J$1&amp;",",","&amp;$D53&amp;",")),1,0)</f>
        <v>0</v>
      </c>
      <c r="K53" s="6" t="n">
        <f aca="false">IF(ISNUMBER(SEARCH(","&amp;K$1&amp;",",","&amp;$D53&amp;",")),1,0)</f>
        <v>0</v>
      </c>
      <c r="L53" s="6" t="n">
        <f aca="false">IF(ISNUMBER(SEARCH(","&amp;L$1&amp;",",","&amp;$D53&amp;",")),1,0)</f>
        <v>0</v>
      </c>
      <c r="M53" s="6" t="n">
        <f aca="false">IF(ISNUMBER(SEARCH(","&amp;M$1&amp;",",","&amp;$D53&amp;",")),1,0)</f>
        <v>0</v>
      </c>
      <c r="N53" s="6" t="n">
        <f aca="false">IF(ISNUMBER(SEARCH(","&amp;N$1&amp;",",","&amp;$D53&amp;",")),1,0)</f>
        <v>0</v>
      </c>
    </row>
    <row r="54" customFormat="false" ht="23.85" hidden="false" customHeight="false" outlineLevel="0" collapsed="false">
      <c r="A54" s="2" t="s">
        <v>14</v>
      </c>
      <c r="B54" s="2" t="s">
        <v>175</v>
      </c>
      <c r="C54" s="3" t="s">
        <v>176</v>
      </c>
      <c r="D54" s="4" t="s">
        <v>5</v>
      </c>
      <c r="E54" s="5" t="s">
        <v>177</v>
      </c>
      <c r="F54" s="6" t="n">
        <f aca="false">IF(ISNUMBER(SEARCH(","&amp;F$1&amp;",",","&amp;$D54&amp;",")),1,0)</f>
        <v>1</v>
      </c>
      <c r="G54" s="6" t="n">
        <f aca="false">IF(ISNUMBER(SEARCH(","&amp;G$1&amp;",",","&amp;$D54&amp;",")),1,0)</f>
        <v>0</v>
      </c>
      <c r="H54" s="6" t="n">
        <f aca="false">IF(ISNUMBER(SEARCH(","&amp;H$1&amp;",",","&amp;$D54&amp;",")),1,0)</f>
        <v>0</v>
      </c>
      <c r="I54" s="6" t="n">
        <f aca="false">IF(ISNUMBER(SEARCH(","&amp;I$1&amp;",",","&amp;$D54&amp;",")),1,0)</f>
        <v>0</v>
      </c>
      <c r="J54" s="6" t="n">
        <f aca="false">IF(ISNUMBER(SEARCH(","&amp;J$1&amp;",",","&amp;$D54&amp;",")),1,0)</f>
        <v>0</v>
      </c>
      <c r="K54" s="6" t="n">
        <f aca="false">IF(ISNUMBER(SEARCH(","&amp;K$1&amp;",",","&amp;$D54&amp;",")),1,0)</f>
        <v>0</v>
      </c>
      <c r="L54" s="6" t="n">
        <f aca="false">IF(ISNUMBER(SEARCH(","&amp;L$1&amp;",",","&amp;$D54&amp;",")),1,0)</f>
        <v>0</v>
      </c>
      <c r="M54" s="6" t="n">
        <f aca="false">IF(ISNUMBER(SEARCH(","&amp;M$1&amp;",",","&amp;$D54&amp;",")),1,0)</f>
        <v>0</v>
      </c>
      <c r="N54" s="6" t="n">
        <f aca="false">IF(ISNUMBER(SEARCH(","&amp;N$1&amp;",",","&amp;$D54&amp;",")),1,0)</f>
        <v>0</v>
      </c>
    </row>
    <row r="55" customFormat="false" ht="23.85" hidden="false" customHeight="false" outlineLevel="0" collapsed="false">
      <c r="A55" s="2" t="s">
        <v>14</v>
      </c>
      <c r="B55" s="2" t="s">
        <v>178</v>
      </c>
      <c r="C55" s="3" t="s">
        <v>179</v>
      </c>
      <c r="D55" s="4" t="s">
        <v>5</v>
      </c>
      <c r="E55" s="5" t="s">
        <v>180</v>
      </c>
      <c r="F55" s="6" t="n">
        <f aca="false">IF(ISNUMBER(SEARCH(","&amp;F$1&amp;",",","&amp;$D55&amp;",")),1,0)</f>
        <v>1</v>
      </c>
      <c r="G55" s="6" t="n">
        <f aca="false">IF(ISNUMBER(SEARCH(","&amp;G$1&amp;",",","&amp;$D55&amp;",")),1,0)</f>
        <v>0</v>
      </c>
      <c r="H55" s="6" t="n">
        <f aca="false">IF(ISNUMBER(SEARCH(","&amp;H$1&amp;",",","&amp;$D55&amp;",")),1,0)</f>
        <v>0</v>
      </c>
      <c r="I55" s="6" t="n">
        <f aca="false">IF(ISNUMBER(SEARCH(","&amp;I$1&amp;",",","&amp;$D55&amp;",")),1,0)</f>
        <v>0</v>
      </c>
      <c r="J55" s="6" t="n">
        <f aca="false">IF(ISNUMBER(SEARCH(","&amp;J$1&amp;",",","&amp;$D55&amp;",")),1,0)</f>
        <v>0</v>
      </c>
      <c r="K55" s="6" t="n">
        <f aca="false">IF(ISNUMBER(SEARCH(","&amp;K$1&amp;",",","&amp;$D55&amp;",")),1,0)</f>
        <v>0</v>
      </c>
      <c r="L55" s="6" t="n">
        <f aca="false">IF(ISNUMBER(SEARCH(","&amp;L$1&amp;",",","&amp;$D55&amp;",")),1,0)</f>
        <v>0</v>
      </c>
      <c r="M55" s="6" t="n">
        <f aca="false">IF(ISNUMBER(SEARCH(","&amp;M$1&amp;",",","&amp;$D55&amp;",")),1,0)</f>
        <v>0</v>
      </c>
      <c r="N55" s="6" t="n">
        <f aca="false">IF(ISNUMBER(SEARCH(","&amp;N$1&amp;",",","&amp;$D55&amp;",")),1,0)</f>
        <v>0</v>
      </c>
    </row>
    <row r="56" customFormat="false" ht="23.85" hidden="false" customHeight="false" outlineLevel="0" collapsed="false">
      <c r="A56" s="2" t="s">
        <v>14</v>
      </c>
      <c r="B56" s="2" t="s">
        <v>181</v>
      </c>
      <c r="C56" s="3" t="s">
        <v>182</v>
      </c>
      <c r="D56" s="4" t="s">
        <v>6</v>
      </c>
      <c r="E56" s="5" t="s">
        <v>183</v>
      </c>
      <c r="F56" s="6" t="n">
        <f aca="false">IF(ISNUMBER(SEARCH(","&amp;F$1&amp;",",","&amp;$D56&amp;",")),1,0)</f>
        <v>0</v>
      </c>
      <c r="G56" s="6" t="n">
        <f aca="false">IF(ISNUMBER(SEARCH(","&amp;G$1&amp;",",","&amp;$D56&amp;",")),1,0)</f>
        <v>1</v>
      </c>
      <c r="H56" s="6" t="n">
        <f aca="false">IF(ISNUMBER(SEARCH(","&amp;H$1&amp;",",","&amp;$D56&amp;",")),1,0)</f>
        <v>0</v>
      </c>
      <c r="I56" s="6" t="n">
        <f aca="false">IF(ISNUMBER(SEARCH(","&amp;I$1&amp;",",","&amp;$D56&amp;",")),1,0)</f>
        <v>0</v>
      </c>
      <c r="J56" s="6" t="n">
        <f aca="false">IF(ISNUMBER(SEARCH(","&amp;J$1&amp;",",","&amp;$D56&amp;",")),1,0)</f>
        <v>0</v>
      </c>
      <c r="K56" s="6" t="n">
        <f aca="false">IF(ISNUMBER(SEARCH(","&amp;K$1&amp;",",","&amp;$D56&amp;",")),1,0)</f>
        <v>0</v>
      </c>
      <c r="L56" s="6" t="n">
        <f aca="false">IF(ISNUMBER(SEARCH(","&amp;L$1&amp;",",","&amp;$D56&amp;",")),1,0)</f>
        <v>0</v>
      </c>
      <c r="M56" s="6" t="n">
        <f aca="false">IF(ISNUMBER(SEARCH(","&amp;M$1&amp;",",","&amp;$D56&amp;",")),1,0)</f>
        <v>0</v>
      </c>
      <c r="N56" s="6" t="n">
        <f aca="false">IF(ISNUMBER(SEARCH(","&amp;N$1&amp;",",","&amp;$D56&amp;",")),1,0)</f>
        <v>0</v>
      </c>
    </row>
    <row r="57" customFormat="false" ht="23.85" hidden="false" customHeight="false" outlineLevel="0" collapsed="false">
      <c r="A57" s="2" t="s">
        <v>14</v>
      </c>
      <c r="B57" s="2" t="s">
        <v>184</v>
      </c>
      <c r="C57" s="3" t="s">
        <v>185</v>
      </c>
      <c r="D57" s="4" t="s">
        <v>6</v>
      </c>
      <c r="E57" s="5" t="s">
        <v>186</v>
      </c>
      <c r="F57" s="6" t="n">
        <f aca="false">IF(ISNUMBER(SEARCH(","&amp;F$1&amp;",",","&amp;$D57&amp;",")),1,0)</f>
        <v>0</v>
      </c>
      <c r="G57" s="6" t="n">
        <f aca="false">IF(ISNUMBER(SEARCH(","&amp;G$1&amp;",",","&amp;$D57&amp;",")),1,0)</f>
        <v>1</v>
      </c>
      <c r="H57" s="6" t="n">
        <f aca="false">IF(ISNUMBER(SEARCH(","&amp;H$1&amp;",",","&amp;$D57&amp;",")),1,0)</f>
        <v>0</v>
      </c>
      <c r="I57" s="6" t="n">
        <f aca="false">IF(ISNUMBER(SEARCH(","&amp;I$1&amp;",",","&amp;$D57&amp;",")),1,0)</f>
        <v>0</v>
      </c>
      <c r="J57" s="6" t="n">
        <f aca="false">IF(ISNUMBER(SEARCH(","&amp;J$1&amp;",",","&amp;$D57&amp;",")),1,0)</f>
        <v>0</v>
      </c>
      <c r="K57" s="6" t="n">
        <f aca="false">IF(ISNUMBER(SEARCH(","&amp;K$1&amp;",",","&amp;$D57&amp;",")),1,0)</f>
        <v>0</v>
      </c>
      <c r="L57" s="6" t="n">
        <f aca="false">IF(ISNUMBER(SEARCH(","&amp;L$1&amp;",",","&amp;$D57&amp;",")),1,0)</f>
        <v>0</v>
      </c>
      <c r="M57" s="6" t="n">
        <f aca="false">IF(ISNUMBER(SEARCH(","&amp;M$1&amp;",",","&amp;$D57&amp;",")),1,0)</f>
        <v>0</v>
      </c>
      <c r="N57" s="6" t="n">
        <f aca="false">IF(ISNUMBER(SEARCH(","&amp;N$1&amp;",",","&amp;$D57&amp;",")),1,0)</f>
        <v>0</v>
      </c>
    </row>
    <row r="58" customFormat="false" ht="23.85" hidden="false" customHeight="false" outlineLevel="0" collapsed="false">
      <c r="A58" s="2" t="s">
        <v>14</v>
      </c>
      <c r="B58" s="2" t="s">
        <v>187</v>
      </c>
      <c r="C58" s="3" t="s">
        <v>188</v>
      </c>
      <c r="D58" s="4" t="s">
        <v>6</v>
      </c>
      <c r="E58" s="5" t="s">
        <v>189</v>
      </c>
      <c r="F58" s="6" t="n">
        <f aca="false">IF(ISNUMBER(SEARCH(","&amp;F$1&amp;",",","&amp;$D58&amp;",")),1,0)</f>
        <v>0</v>
      </c>
      <c r="G58" s="6" t="n">
        <f aca="false">IF(ISNUMBER(SEARCH(","&amp;G$1&amp;",",","&amp;$D58&amp;",")),1,0)</f>
        <v>1</v>
      </c>
      <c r="H58" s="6" t="n">
        <f aca="false">IF(ISNUMBER(SEARCH(","&amp;H$1&amp;",",","&amp;$D58&amp;",")),1,0)</f>
        <v>0</v>
      </c>
      <c r="I58" s="6" t="n">
        <f aca="false">IF(ISNUMBER(SEARCH(","&amp;I$1&amp;",",","&amp;$D58&amp;",")),1,0)</f>
        <v>0</v>
      </c>
      <c r="J58" s="6" t="n">
        <f aca="false">IF(ISNUMBER(SEARCH(","&amp;J$1&amp;",",","&amp;$D58&amp;",")),1,0)</f>
        <v>0</v>
      </c>
      <c r="K58" s="6" t="n">
        <f aca="false">IF(ISNUMBER(SEARCH(","&amp;K$1&amp;",",","&amp;$D58&amp;",")),1,0)</f>
        <v>0</v>
      </c>
      <c r="L58" s="6" t="n">
        <f aca="false">IF(ISNUMBER(SEARCH(","&amp;L$1&amp;",",","&amp;$D58&amp;",")),1,0)</f>
        <v>0</v>
      </c>
      <c r="M58" s="6" t="n">
        <f aca="false">IF(ISNUMBER(SEARCH(","&amp;M$1&amp;",",","&amp;$D58&amp;",")),1,0)</f>
        <v>0</v>
      </c>
      <c r="N58" s="6" t="n">
        <f aca="false">IF(ISNUMBER(SEARCH(","&amp;N$1&amp;",",","&amp;$D58&amp;",")),1,0)</f>
        <v>0</v>
      </c>
    </row>
    <row r="59" customFormat="false" ht="15" hidden="false" customHeight="false" outlineLevel="0" collapsed="false">
      <c r="A59" s="2" t="s">
        <v>14</v>
      </c>
      <c r="B59" s="2" t="s">
        <v>190</v>
      </c>
      <c r="C59" s="3" t="s">
        <v>191</v>
      </c>
      <c r="D59" s="4" t="s">
        <v>6</v>
      </c>
      <c r="E59" s="5" t="s">
        <v>192</v>
      </c>
      <c r="F59" s="6" t="n">
        <f aca="false">IF(ISNUMBER(SEARCH(","&amp;F$1&amp;",",","&amp;$D59&amp;",")),1,0)</f>
        <v>0</v>
      </c>
      <c r="G59" s="6" t="n">
        <f aca="false">IF(ISNUMBER(SEARCH(","&amp;G$1&amp;",",","&amp;$D59&amp;",")),1,0)</f>
        <v>1</v>
      </c>
      <c r="H59" s="6" t="n">
        <f aca="false">IF(ISNUMBER(SEARCH(","&amp;H$1&amp;",",","&amp;$D59&amp;",")),1,0)</f>
        <v>0</v>
      </c>
      <c r="I59" s="6" t="n">
        <f aca="false">IF(ISNUMBER(SEARCH(","&amp;I$1&amp;",",","&amp;$D59&amp;",")),1,0)</f>
        <v>0</v>
      </c>
      <c r="J59" s="6" t="n">
        <f aca="false">IF(ISNUMBER(SEARCH(","&amp;J$1&amp;",",","&amp;$D59&amp;",")),1,0)</f>
        <v>0</v>
      </c>
      <c r="K59" s="6" t="n">
        <f aca="false">IF(ISNUMBER(SEARCH(","&amp;K$1&amp;",",","&amp;$D59&amp;",")),1,0)</f>
        <v>0</v>
      </c>
      <c r="L59" s="6" t="n">
        <f aca="false">IF(ISNUMBER(SEARCH(","&amp;L$1&amp;",",","&amp;$D59&amp;",")),1,0)</f>
        <v>0</v>
      </c>
      <c r="M59" s="6" t="n">
        <f aca="false">IF(ISNUMBER(SEARCH(","&amp;M$1&amp;",",","&amp;$D59&amp;",")),1,0)</f>
        <v>0</v>
      </c>
      <c r="N59" s="6" t="n">
        <f aca="false">IF(ISNUMBER(SEARCH(","&amp;N$1&amp;",",","&amp;$D59&amp;",")),1,0)</f>
        <v>0</v>
      </c>
    </row>
    <row r="60" customFormat="false" ht="23.85" hidden="false" customHeight="false" outlineLevel="0" collapsed="false">
      <c r="A60" s="2" t="s">
        <v>14</v>
      </c>
      <c r="B60" s="2" t="s">
        <v>193</v>
      </c>
      <c r="C60" s="3" t="s">
        <v>194</v>
      </c>
      <c r="D60" s="4" t="s">
        <v>6</v>
      </c>
      <c r="E60" s="5" t="s">
        <v>195</v>
      </c>
      <c r="F60" s="6" t="n">
        <f aca="false">IF(ISNUMBER(SEARCH(","&amp;F$1&amp;",",","&amp;$D60&amp;",")),1,0)</f>
        <v>0</v>
      </c>
      <c r="G60" s="6" t="n">
        <f aca="false">IF(ISNUMBER(SEARCH(","&amp;G$1&amp;",",","&amp;$D60&amp;",")),1,0)</f>
        <v>1</v>
      </c>
      <c r="H60" s="6" t="n">
        <f aca="false">IF(ISNUMBER(SEARCH(","&amp;H$1&amp;",",","&amp;$D60&amp;",")),1,0)</f>
        <v>0</v>
      </c>
      <c r="I60" s="6" t="n">
        <f aca="false">IF(ISNUMBER(SEARCH(","&amp;I$1&amp;",",","&amp;$D60&amp;",")),1,0)</f>
        <v>0</v>
      </c>
      <c r="J60" s="6" t="n">
        <f aca="false">IF(ISNUMBER(SEARCH(","&amp;J$1&amp;",",","&amp;$D60&amp;",")),1,0)</f>
        <v>0</v>
      </c>
      <c r="K60" s="6" t="n">
        <f aca="false">IF(ISNUMBER(SEARCH(","&amp;K$1&amp;",",","&amp;$D60&amp;",")),1,0)</f>
        <v>0</v>
      </c>
      <c r="L60" s="6" t="n">
        <f aca="false">IF(ISNUMBER(SEARCH(","&amp;L$1&amp;",",","&amp;$D60&amp;",")),1,0)</f>
        <v>0</v>
      </c>
      <c r="M60" s="6" t="n">
        <f aca="false">IF(ISNUMBER(SEARCH(","&amp;M$1&amp;",",","&amp;$D60&amp;",")),1,0)</f>
        <v>0</v>
      </c>
      <c r="N60" s="6" t="n">
        <f aca="false">IF(ISNUMBER(SEARCH(","&amp;N$1&amp;",",","&amp;$D60&amp;",")),1,0)</f>
        <v>0</v>
      </c>
    </row>
    <row r="61" customFormat="false" ht="23.85" hidden="false" customHeight="false" outlineLevel="0" collapsed="false">
      <c r="A61" s="2" t="s">
        <v>14</v>
      </c>
      <c r="B61" s="2" t="s">
        <v>196</v>
      </c>
      <c r="C61" s="3" t="s">
        <v>197</v>
      </c>
      <c r="D61" s="4" t="s">
        <v>6</v>
      </c>
      <c r="E61" s="5" t="s">
        <v>198</v>
      </c>
      <c r="F61" s="6" t="n">
        <f aca="false">IF(ISNUMBER(SEARCH(","&amp;F$1&amp;",",","&amp;$D61&amp;",")),1,0)</f>
        <v>0</v>
      </c>
      <c r="G61" s="6" t="n">
        <f aca="false">IF(ISNUMBER(SEARCH(","&amp;G$1&amp;",",","&amp;$D61&amp;",")),1,0)</f>
        <v>1</v>
      </c>
      <c r="H61" s="6" t="n">
        <f aca="false">IF(ISNUMBER(SEARCH(","&amp;H$1&amp;",",","&amp;$D61&amp;",")),1,0)</f>
        <v>0</v>
      </c>
      <c r="I61" s="6" t="n">
        <f aca="false">IF(ISNUMBER(SEARCH(","&amp;I$1&amp;",",","&amp;$D61&amp;",")),1,0)</f>
        <v>0</v>
      </c>
      <c r="J61" s="6" t="n">
        <f aca="false">IF(ISNUMBER(SEARCH(","&amp;J$1&amp;",",","&amp;$D61&amp;",")),1,0)</f>
        <v>0</v>
      </c>
      <c r="K61" s="6" t="n">
        <f aca="false">IF(ISNUMBER(SEARCH(","&amp;K$1&amp;",",","&amp;$D61&amp;",")),1,0)</f>
        <v>0</v>
      </c>
      <c r="L61" s="6" t="n">
        <f aca="false">IF(ISNUMBER(SEARCH(","&amp;L$1&amp;",",","&amp;$D61&amp;",")),1,0)</f>
        <v>0</v>
      </c>
      <c r="M61" s="6" t="n">
        <f aca="false">IF(ISNUMBER(SEARCH(","&amp;M$1&amp;",",","&amp;$D61&amp;",")),1,0)</f>
        <v>0</v>
      </c>
      <c r="N61" s="6" t="n">
        <f aca="false">IF(ISNUMBER(SEARCH(","&amp;N$1&amp;",",","&amp;$D61&amp;",")),1,0)</f>
        <v>0</v>
      </c>
    </row>
    <row r="62" customFormat="false" ht="23.85" hidden="false" customHeight="false" outlineLevel="0" collapsed="false">
      <c r="A62" s="2" t="s">
        <v>14</v>
      </c>
      <c r="B62" s="2" t="s">
        <v>199</v>
      </c>
      <c r="C62" s="3" t="s">
        <v>200</v>
      </c>
      <c r="D62" s="4" t="s">
        <v>6</v>
      </c>
      <c r="E62" s="5" t="s">
        <v>201</v>
      </c>
      <c r="F62" s="6" t="n">
        <f aca="false">IF(ISNUMBER(SEARCH(","&amp;F$1&amp;",",","&amp;$D62&amp;",")),1,0)</f>
        <v>0</v>
      </c>
      <c r="G62" s="6" t="n">
        <f aca="false">IF(ISNUMBER(SEARCH(","&amp;G$1&amp;",",","&amp;$D62&amp;",")),1,0)</f>
        <v>1</v>
      </c>
      <c r="H62" s="6" t="n">
        <f aca="false">IF(ISNUMBER(SEARCH(","&amp;H$1&amp;",",","&amp;$D62&amp;",")),1,0)</f>
        <v>0</v>
      </c>
      <c r="I62" s="6" t="n">
        <f aca="false">IF(ISNUMBER(SEARCH(","&amp;I$1&amp;",",","&amp;$D62&amp;",")),1,0)</f>
        <v>0</v>
      </c>
      <c r="J62" s="6" t="n">
        <f aca="false">IF(ISNUMBER(SEARCH(","&amp;J$1&amp;",",","&amp;$D62&amp;",")),1,0)</f>
        <v>0</v>
      </c>
      <c r="K62" s="6" t="n">
        <f aca="false">IF(ISNUMBER(SEARCH(","&amp;K$1&amp;",",","&amp;$D62&amp;",")),1,0)</f>
        <v>0</v>
      </c>
      <c r="L62" s="6" t="n">
        <f aca="false">IF(ISNUMBER(SEARCH(","&amp;L$1&amp;",",","&amp;$D62&amp;",")),1,0)</f>
        <v>0</v>
      </c>
      <c r="M62" s="6" t="n">
        <f aca="false">IF(ISNUMBER(SEARCH(","&amp;M$1&amp;",",","&amp;$D62&amp;",")),1,0)</f>
        <v>0</v>
      </c>
      <c r="N62" s="6" t="n">
        <f aca="false">IF(ISNUMBER(SEARCH(","&amp;N$1&amp;",",","&amp;$D62&amp;",")),1,0)</f>
        <v>0</v>
      </c>
    </row>
    <row r="63" customFormat="false" ht="15" hidden="false" customHeight="false" outlineLevel="0" collapsed="false">
      <c r="A63" s="2" t="s">
        <v>14</v>
      </c>
      <c r="B63" s="2" t="s">
        <v>202</v>
      </c>
      <c r="C63" s="3" t="s">
        <v>203</v>
      </c>
      <c r="D63" s="4" t="s">
        <v>6</v>
      </c>
      <c r="E63" s="5" t="s">
        <v>198</v>
      </c>
      <c r="F63" s="6" t="n">
        <f aca="false">IF(ISNUMBER(SEARCH(","&amp;F$1&amp;",",","&amp;$D63&amp;",")),1,0)</f>
        <v>0</v>
      </c>
      <c r="G63" s="6" t="n">
        <f aca="false">IF(ISNUMBER(SEARCH(","&amp;G$1&amp;",",","&amp;$D63&amp;",")),1,0)</f>
        <v>1</v>
      </c>
      <c r="H63" s="6" t="n">
        <f aca="false">IF(ISNUMBER(SEARCH(","&amp;H$1&amp;",",","&amp;$D63&amp;",")),1,0)</f>
        <v>0</v>
      </c>
      <c r="I63" s="6" t="n">
        <f aca="false">IF(ISNUMBER(SEARCH(","&amp;I$1&amp;",",","&amp;$D63&amp;",")),1,0)</f>
        <v>0</v>
      </c>
      <c r="J63" s="6" t="n">
        <f aca="false">IF(ISNUMBER(SEARCH(","&amp;J$1&amp;",",","&amp;$D63&amp;",")),1,0)</f>
        <v>0</v>
      </c>
      <c r="K63" s="6" t="n">
        <f aca="false">IF(ISNUMBER(SEARCH(","&amp;K$1&amp;",",","&amp;$D63&amp;",")),1,0)</f>
        <v>0</v>
      </c>
      <c r="L63" s="6" t="n">
        <f aca="false">IF(ISNUMBER(SEARCH(","&amp;L$1&amp;",",","&amp;$D63&amp;",")),1,0)</f>
        <v>0</v>
      </c>
      <c r="M63" s="6" t="n">
        <f aca="false">IF(ISNUMBER(SEARCH(","&amp;M$1&amp;",",","&amp;$D63&amp;",")),1,0)</f>
        <v>0</v>
      </c>
      <c r="N63" s="6" t="n">
        <f aca="false">IF(ISNUMBER(SEARCH(","&amp;N$1&amp;",",","&amp;$D63&amp;",")),1,0)</f>
        <v>0</v>
      </c>
    </row>
    <row r="64" customFormat="false" ht="23.85" hidden="false" customHeight="false" outlineLevel="0" collapsed="false">
      <c r="A64" s="2" t="s">
        <v>14</v>
      </c>
      <c r="B64" s="2" t="s">
        <v>204</v>
      </c>
      <c r="C64" s="3" t="s">
        <v>205</v>
      </c>
      <c r="D64" s="4" t="s">
        <v>32</v>
      </c>
      <c r="E64" s="5" t="s">
        <v>206</v>
      </c>
      <c r="F64" s="6" t="n">
        <f aca="false">IF(ISNUMBER(SEARCH(","&amp;F$1&amp;",",","&amp;$D64&amp;",")),1,0)</f>
        <v>0</v>
      </c>
      <c r="G64" s="6" t="n">
        <f aca="false">IF(ISNUMBER(SEARCH(","&amp;G$1&amp;",",","&amp;$D64&amp;",")),1,0)</f>
        <v>1</v>
      </c>
      <c r="H64" s="6" t="n">
        <f aca="false">IF(ISNUMBER(SEARCH(","&amp;H$1&amp;",",","&amp;$D64&amp;",")),1,0)</f>
        <v>0</v>
      </c>
      <c r="I64" s="6" t="n">
        <f aca="false">IF(ISNUMBER(SEARCH(","&amp;I$1&amp;",",","&amp;$D64&amp;",")),1,0)</f>
        <v>0</v>
      </c>
      <c r="J64" s="6" t="n">
        <f aca="false">IF(ISNUMBER(SEARCH(","&amp;J$1&amp;",",","&amp;$D64&amp;",")),1,0)</f>
        <v>0</v>
      </c>
      <c r="K64" s="6" t="n">
        <f aca="false">IF(ISNUMBER(SEARCH(","&amp;K$1&amp;",",","&amp;$D64&amp;",")),1,0)</f>
        <v>0</v>
      </c>
      <c r="L64" s="6" t="n">
        <f aca="false">IF(ISNUMBER(SEARCH(","&amp;L$1&amp;",",","&amp;$D64&amp;",")),1,0)</f>
        <v>0</v>
      </c>
      <c r="M64" s="6" t="n">
        <f aca="false">IF(ISNUMBER(SEARCH(","&amp;M$1&amp;",",","&amp;$D64&amp;",")),1,0)</f>
        <v>1</v>
      </c>
      <c r="N64" s="6" t="n">
        <f aca="false">IF(ISNUMBER(SEARCH(","&amp;N$1&amp;",",","&amp;$D64&amp;",")),1,0)</f>
        <v>0</v>
      </c>
    </row>
    <row r="65" customFormat="false" ht="23.85" hidden="false" customHeight="false" outlineLevel="0" collapsed="false">
      <c r="A65" s="2" t="s">
        <v>14</v>
      </c>
      <c r="B65" s="2" t="s">
        <v>207</v>
      </c>
      <c r="C65" s="3" t="s">
        <v>208</v>
      </c>
      <c r="D65" s="4" t="s">
        <v>32</v>
      </c>
      <c r="E65" s="5" t="s">
        <v>209</v>
      </c>
      <c r="F65" s="6" t="n">
        <f aca="false">IF(ISNUMBER(SEARCH(","&amp;F$1&amp;",",","&amp;$D65&amp;",")),1,0)</f>
        <v>0</v>
      </c>
      <c r="G65" s="6" t="n">
        <f aca="false">IF(ISNUMBER(SEARCH(","&amp;G$1&amp;",",","&amp;$D65&amp;",")),1,0)</f>
        <v>1</v>
      </c>
      <c r="H65" s="6" t="n">
        <f aca="false">IF(ISNUMBER(SEARCH(","&amp;H$1&amp;",",","&amp;$D65&amp;",")),1,0)</f>
        <v>0</v>
      </c>
      <c r="I65" s="6" t="n">
        <f aca="false">IF(ISNUMBER(SEARCH(","&amp;I$1&amp;",",","&amp;$D65&amp;",")),1,0)</f>
        <v>0</v>
      </c>
      <c r="J65" s="6" t="n">
        <f aca="false">IF(ISNUMBER(SEARCH(","&amp;J$1&amp;",",","&amp;$D65&amp;",")),1,0)</f>
        <v>0</v>
      </c>
      <c r="K65" s="6" t="n">
        <f aca="false">IF(ISNUMBER(SEARCH(","&amp;K$1&amp;",",","&amp;$D65&amp;",")),1,0)</f>
        <v>0</v>
      </c>
      <c r="L65" s="6" t="n">
        <f aca="false">IF(ISNUMBER(SEARCH(","&amp;L$1&amp;",",","&amp;$D65&amp;",")),1,0)</f>
        <v>0</v>
      </c>
      <c r="M65" s="6" t="n">
        <f aca="false">IF(ISNUMBER(SEARCH(","&amp;M$1&amp;",",","&amp;$D65&amp;",")),1,0)</f>
        <v>1</v>
      </c>
      <c r="N65" s="6" t="n">
        <f aca="false">IF(ISNUMBER(SEARCH(","&amp;N$1&amp;",",","&amp;$D65&amp;",")),1,0)</f>
        <v>0</v>
      </c>
    </row>
    <row r="66" customFormat="false" ht="23.85" hidden="false" customHeight="false" outlineLevel="0" collapsed="false">
      <c r="A66" s="2" t="s">
        <v>14</v>
      </c>
      <c r="B66" s="2" t="s">
        <v>210</v>
      </c>
      <c r="C66" s="3" t="s">
        <v>211</v>
      </c>
      <c r="D66" s="4" t="s">
        <v>5</v>
      </c>
      <c r="E66" s="5" t="s">
        <v>212</v>
      </c>
      <c r="F66" s="6" t="n">
        <f aca="false">IF(ISNUMBER(SEARCH(","&amp;F$1&amp;",",","&amp;$D66&amp;",")),1,0)</f>
        <v>1</v>
      </c>
      <c r="G66" s="6" t="n">
        <f aca="false">IF(ISNUMBER(SEARCH(","&amp;G$1&amp;",",","&amp;$D66&amp;",")),1,0)</f>
        <v>0</v>
      </c>
      <c r="H66" s="6" t="n">
        <f aca="false">IF(ISNUMBER(SEARCH(","&amp;H$1&amp;",",","&amp;$D66&amp;",")),1,0)</f>
        <v>0</v>
      </c>
      <c r="I66" s="6" t="n">
        <f aca="false">IF(ISNUMBER(SEARCH(","&amp;I$1&amp;",",","&amp;$D66&amp;",")),1,0)</f>
        <v>0</v>
      </c>
      <c r="J66" s="6" t="n">
        <f aca="false">IF(ISNUMBER(SEARCH(","&amp;J$1&amp;",",","&amp;$D66&amp;",")),1,0)</f>
        <v>0</v>
      </c>
      <c r="K66" s="6" t="n">
        <f aca="false">IF(ISNUMBER(SEARCH(","&amp;K$1&amp;",",","&amp;$D66&amp;",")),1,0)</f>
        <v>0</v>
      </c>
      <c r="L66" s="6" t="n">
        <f aca="false">IF(ISNUMBER(SEARCH(","&amp;L$1&amp;",",","&amp;$D66&amp;",")),1,0)</f>
        <v>0</v>
      </c>
      <c r="M66" s="6" t="n">
        <f aca="false">IF(ISNUMBER(SEARCH(","&amp;M$1&amp;",",","&amp;$D66&amp;",")),1,0)</f>
        <v>0</v>
      </c>
      <c r="N66" s="6" t="n">
        <f aca="false">IF(ISNUMBER(SEARCH(","&amp;N$1&amp;",",","&amp;$D66&amp;",")),1,0)</f>
        <v>0</v>
      </c>
    </row>
    <row r="67" customFormat="false" ht="23.85" hidden="false" customHeight="false" outlineLevel="0" collapsed="false">
      <c r="A67" s="2" t="s">
        <v>14</v>
      </c>
      <c r="B67" s="2" t="s">
        <v>213</v>
      </c>
      <c r="C67" s="3" t="s">
        <v>214</v>
      </c>
      <c r="D67" s="4" t="s">
        <v>5</v>
      </c>
      <c r="E67" s="5" t="s">
        <v>215</v>
      </c>
      <c r="F67" s="6" t="n">
        <f aca="false">IF(ISNUMBER(SEARCH(","&amp;F$1&amp;",",","&amp;$D67&amp;",")),1,0)</f>
        <v>1</v>
      </c>
      <c r="G67" s="6" t="n">
        <f aca="false">IF(ISNUMBER(SEARCH(","&amp;G$1&amp;",",","&amp;$D67&amp;",")),1,0)</f>
        <v>0</v>
      </c>
      <c r="H67" s="6" t="n">
        <f aca="false">IF(ISNUMBER(SEARCH(","&amp;H$1&amp;",",","&amp;$D67&amp;",")),1,0)</f>
        <v>0</v>
      </c>
      <c r="I67" s="6" t="n">
        <f aca="false">IF(ISNUMBER(SEARCH(","&amp;I$1&amp;",",","&amp;$D67&amp;",")),1,0)</f>
        <v>0</v>
      </c>
      <c r="J67" s="6" t="n">
        <f aca="false">IF(ISNUMBER(SEARCH(","&amp;J$1&amp;",",","&amp;$D67&amp;",")),1,0)</f>
        <v>0</v>
      </c>
      <c r="K67" s="6" t="n">
        <f aca="false">IF(ISNUMBER(SEARCH(","&amp;K$1&amp;",",","&amp;$D67&amp;",")),1,0)</f>
        <v>0</v>
      </c>
      <c r="L67" s="6" t="n">
        <f aca="false">IF(ISNUMBER(SEARCH(","&amp;L$1&amp;",",","&amp;$D67&amp;",")),1,0)</f>
        <v>0</v>
      </c>
      <c r="M67" s="6" t="n">
        <f aca="false">IF(ISNUMBER(SEARCH(","&amp;M$1&amp;",",","&amp;$D67&amp;",")),1,0)</f>
        <v>0</v>
      </c>
      <c r="N67" s="6" t="n">
        <f aca="false">IF(ISNUMBER(SEARCH(","&amp;N$1&amp;",",","&amp;$D67&amp;",")),1,0)</f>
        <v>0</v>
      </c>
    </row>
    <row r="68" customFormat="false" ht="23.85" hidden="false" customHeight="false" outlineLevel="0" collapsed="false">
      <c r="A68" s="2" t="s">
        <v>14</v>
      </c>
      <c r="B68" s="2" t="s">
        <v>216</v>
      </c>
      <c r="C68" s="3" t="s">
        <v>217</v>
      </c>
      <c r="D68" s="4" t="s">
        <v>5</v>
      </c>
      <c r="E68" s="5" t="s">
        <v>218</v>
      </c>
      <c r="F68" s="6" t="n">
        <f aca="false">IF(ISNUMBER(SEARCH(","&amp;F$1&amp;",",","&amp;$D68&amp;",")),1,0)</f>
        <v>1</v>
      </c>
      <c r="G68" s="6" t="n">
        <f aca="false">IF(ISNUMBER(SEARCH(","&amp;G$1&amp;",",","&amp;$D68&amp;",")),1,0)</f>
        <v>0</v>
      </c>
      <c r="H68" s="6" t="n">
        <f aca="false">IF(ISNUMBER(SEARCH(","&amp;H$1&amp;",",","&amp;$D68&amp;",")),1,0)</f>
        <v>0</v>
      </c>
      <c r="I68" s="6" t="n">
        <f aca="false">IF(ISNUMBER(SEARCH(","&amp;I$1&amp;",",","&amp;$D68&amp;",")),1,0)</f>
        <v>0</v>
      </c>
      <c r="J68" s="6" t="n">
        <f aca="false">IF(ISNUMBER(SEARCH(","&amp;J$1&amp;",",","&amp;$D68&amp;",")),1,0)</f>
        <v>0</v>
      </c>
      <c r="K68" s="6" t="n">
        <f aca="false">IF(ISNUMBER(SEARCH(","&amp;K$1&amp;",",","&amp;$D68&amp;",")),1,0)</f>
        <v>0</v>
      </c>
      <c r="L68" s="6" t="n">
        <f aca="false">IF(ISNUMBER(SEARCH(","&amp;L$1&amp;",",","&amp;$D68&amp;",")),1,0)</f>
        <v>0</v>
      </c>
      <c r="M68" s="6" t="n">
        <f aca="false">IF(ISNUMBER(SEARCH(","&amp;M$1&amp;",",","&amp;$D68&amp;",")),1,0)</f>
        <v>0</v>
      </c>
      <c r="N68" s="6" t="n">
        <f aca="false">IF(ISNUMBER(SEARCH(","&amp;N$1&amp;",",","&amp;$D68&amp;",")),1,0)</f>
        <v>0</v>
      </c>
    </row>
    <row r="69" customFormat="false" ht="23.85" hidden="false" customHeight="false" outlineLevel="0" collapsed="false">
      <c r="A69" s="2" t="s">
        <v>14</v>
      </c>
      <c r="B69" s="2" t="s">
        <v>219</v>
      </c>
      <c r="C69" s="3" t="s">
        <v>220</v>
      </c>
      <c r="D69" s="4" t="s">
        <v>5</v>
      </c>
      <c r="E69" s="5" t="s">
        <v>221</v>
      </c>
      <c r="F69" s="6" t="n">
        <f aca="false">IF(ISNUMBER(SEARCH(","&amp;F$1&amp;",",","&amp;$D69&amp;",")),1,0)</f>
        <v>1</v>
      </c>
      <c r="G69" s="6" t="n">
        <f aca="false">IF(ISNUMBER(SEARCH(","&amp;G$1&amp;",",","&amp;$D69&amp;",")),1,0)</f>
        <v>0</v>
      </c>
      <c r="H69" s="6" t="n">
        <f aca="false">IF(ISNUMBER(SEARCH(","&amp;H$1&amp;",",","&amp;$D69&amp;",")),1,0)</f>
        <v>0</v>
      </c>
      <c r="I69" s="6" t="n">
        <f aca="false">IF(ISNUMBER(SEARCH(","&amp;I$1&amp;",",","&amp;$D69&amp;",")),1,0)</f>
        <v>0</v>
      </c>
      <c r="J69" s="6" t="n">
        <f aca="false">IF(ISNUMBER(SEARCH(","&amp;J$1&amp;",",","&amp;$D69&amp;",")),1,0)</f>
        <v>0</v>
      </c>
      <c r="K69" s="6" t="n">
        <f aca="false">IF(ISNUMBER(SEARCH(","&amp;K$1&amp;",",","&amp;$D69&amp;",")),1,0)</f>
        <v>0</v>
      </c>
      <c r="L69" s="6" t="n">
        <f aca="false">IF(ISNUMBER(SEARCH(","&amp;L$1&amp;",",","&amp;$D69&amp;",")),1,0)</f>
        <v>0</v>
      </c>
      <c r="M69" s="6" t="n">
        <f aca="false">IF(ISNUMBER(SEARCH(","&amp;M$1&amp;",",","&amp;$D69&amp;",")),1,0)</f>
        <v>0</v>
      </c>
      <c r="N69" s="6" t="n">
        <f aca="false">IF(ISNUMBER(SEARCH(","&amp;N$1&amp;",",","&amp;$D69&amp;",")),1,0)</f>
        <v>0</v>
      </c>
    </row>
    <row r="70" customFormat="false" ht="23.85" hidden="false" customHeight="false" outlineLevel="0" collapsed="false">
      <c r="A70" s="2" t="s">
        <v>14</v>
      </c>
      <c r="B70" s="2" t="s">
        <v>222</v>
      </c>
      <c r="C70" s="3" t="s">
        <v>223</v>
      </c>
      <c r="D70" s="4" t="s">
        <v>5</v>
      </c>
      <c r="E70" s="5" t="s">
        <v>224</v>
      </c>
      <c r="F70" s="6" t="n">
        <f aca="false">IF(ISNUMBER(SEARCH(","&amp;F$1&amp;",",","&amp;$D70&amp;",")),1,0)</f>
        <v>1</v>
      </c>
      <c r="G70" s="6" t="n">
        <f aca="false">IF(ISNUMBER(SEARCH(","&amp;G$1&amp;",",","&amp;$D70&amp;",")),1,0)</f>
        <v>0</v>
      </c>
      <c r="H70" s="6" t="n">
        <f aca="false">IF(ISNUMBER(SEARCH(","&amp;H$1&amp;",",","&amp;$D70&amp;",")),1,0)</f>
        <v>0</v>
      </c>
      <c r="I70" s="6" t="n">
        <f aca="false">IF(ISNUMBER(SEARCH(","&amp;I$1&amp;",",","&amp;$D70&amp;",")),1,0)</f>
        <v>0</v>
      </c>
      <c r="J70" s="6" t="n">
        <f aca="false">IF(ISNUMBER(SEARCH(","&amp;J$1&amp;",",","&amp;$D70&amp;",")),1,0)</f>
        <v>0</v>
      </c>
      <c r="K70" s="6" t="n">
        <f aca="false">IF(ISNUMBER(SEARCH(","&amp;K$1&amp;",",","&amp;$D70&amp;",")),1,0)</f>
        <v>0</v>
      </c>
      <c r="L70" s="6" t="n">
        <f aca="false">IF(ISNUMBER(SEARCH(","&amp;L$1&amp;",",","&amp;$D70&amp;",")),1,0)</f>
        <v>0</v>
      </c>
      <c r="M70" s="6" t="n">
        <f aca="false">IF(ISNUMBER(SEARCH(","&amp;M$1&amp;",",","&amp;$D70&amp;",")),1,0)</f>
        <v>0</v>
      </c>
      <c r="N70" s="6" t="n">
        <f aca="false">IF(ISNUMBER(SEARCH(","&amp;N$1&amp;",",","&amp;$D70&amp;",")),1,0)</f>
        <v>0</v>
      </c>
    </row>
    <row r="71" customFormat="false" ht="46.25" hidden="false" customHeight="false" outlineLevel="0" collapsed="false">
      <c r="A71" s="2" t="s">
        <v>14</v>
      </c>
      <c r="B71" s="2" t="s">
        <v>225</v>
      </c>
      <c r="C71" s="3" t="s">
        <v>226</v>
      </c>
      <c r="D71" s="4" t="s">
        <v>227</v>
      </c>
      <c r="E71" s="5" t="s">
        <v>228</v>
      </c>
      <c r="F71" s="6" t="n">
        <f aca="false">IF(ISNUMBER(SEARCH(","&amp;F$1&amp;",",","&amp;$D71&amp;",")),1,0)</f>
        <v>0</v>
      </c>
      <c r="G71" s="6" t="n">
        <f aca="false">IF(ISNUMBER(SEARCH(","&amp;G$1&amp;",",","&amp;$D71&amp;",")),1,0)</f>
        <v>0</v>
      </c>
      <c r="H71" s="6" t="n">
        <f aca="false">IF(ISNUMBER(SEARCH(","&amp;H$1&amp;",",","&amp;$D71&amp;",")),1,0)</f>
        <v>0</v>
      </c>
      <c r="I71" s="6" t="n">
        <f aca="false">IF(ISNUMBER(SEARCH(","&amp;I$1&amp;",",","&amp;$D71&amp;",")),1,0)</f>
        <v>0</v>
      </c>
      <c r="J71" s="6" t="n">
        <f aca="false">IF(ISNUMBER(SEARCH(","&amp;J$1&amp;",",","&amp;$D71&amp;",")),1,0)</f>
        <v>0</v>
      </c>
      <c r="K71" s="6" t="n">
        <f aca="false">IF(ISNUMBER(SEARCH(","&amp;K$1&amp;",",","&amp;$D71&amp;",")),1,0)</f>
        <v>1</v>
      </c>
      <c r="L71" s="6" t="n">
        <f aca="false">IF(ISNUMBER(SEARCH(","&amp;L$1&amp;",",","&amp;$D71&amp;",")),1,0)</f>
        <v>1</v>
      </c>
      <c r="M71" s="6" t="n">
        <f aca="false">IF(ISNUMBER(SEARCH(","&amp;M$1&amp;",",","&amp;$D71&amp;",")),1,0)</f>
        <v>0</v>
      </c>
      <c r="N71" s="6" t="n">
        <f aca="false">IF(ISNUMBER(SEARCH(","&amp;N$1&amp;",",","&amp;$D71&amp;",")),1,0)</f>
        <v>0</v>
      </c>
    </row>
    <row r="72" customFormat="false" ht="35.05" hidden="false" customHeight="false" outlineLevel="0" collapsed="false">
      <c r="A72" s="2" t="s">
        <v>14</v>
      </c>
      <c r="B72" s="2" t="s">
        <v>229</v>
      </c>
      <c r="C72" s="3" t="s">
        <v>230</v>
      </c>
      <c r="D72" s="4" t="s">
        <v>92</v>
      </c>
      <c r="E72" s="5" t="s">
        <v>231</v>
      </c>
      <c r="F72" s="6" t="n">
        <f aca="false">IF(ISNUMBER(SEARCH(","&amp;F$1&amp;",",","&amp;$D72&amp;",")),1,0)</f>
        <v>0</v>
      </c>
      <c r="G72" s="6" t="n">
        <f aca="false">IF(ISNUMBER(SEARCH(","&amp;G$1&amp;",",","&amp;$D72&amp;",")),1,0)</f>
        <v>0</v>
      </c>
      <c r="H72" s="6" t="n">
        <f aca="false">IF(ISNUMBER(SEARCH(","&amp;H$1&amp;",",","&amp;$D72&amp;",")),1,0)</f>
        <v>1</v>
      </c>
      <c r="I72" s="6" t="n">
        <f aca="false">IF(ISNUMBER(SEARCH(","&amp;I$1&amp;",",","&amp;$D72&amp;",")),1,0)</f>
        <v>0</v>
      </c>
      <c r="J72" s="6" t="n">
        <f aca="false">IF(ISNUMBER(SEARCH(","&amp;J$1&amp;",",","&amp;$D72&amp;",")),1,0)</f>
        <v>0</v>
      </c>
      <c r="K72" s="6" t="n">
        <f aca="false">IF(ISNUMBER(SEARCH(","&amp;K$1&amp;",",","&amp;$D72&amp;",")),1,0)</f>
        <v>0</v>
      </c>
      <c r="L72" s="6" t="n">
        <f aca="false">IF(ISNUMBER(SEARCH(","&amp;L$1&amp;",",","&amp;$D72&amp;",")),1,0)</f>
        <v>0</v>
      </c>
      <c r="M72" s="6" t="n">
        <f aca="false">IF(ISNUMBER(SEARCH(","&amp;M$1&amp;",",","&amp;$D72&amp;",")),1,0)</f>
        <v>1</v>
      </c>
      <c r="N72" s="6" t="n">
        <f aca="false">IF(ISNUMBER(SEARCH(","&amp;N$1&amp;",",","&amp;$D72&amp;",")),1,0)</f>
        <v>0</v>
      </c>
    </row>
    <row r="73" customFormat="false" ht="23.85" hidden="false" customHeight="false" outlineLevel="0" collapsed="false">
      <c r="A73" s="2" t="s">
        <v>14</v>
      </c>
      <c r="B73" s="2" t="s">
        <v>232</v>
      </c>
      <c r="C73" s="3" t="s">
        <v>233</v>
      </c>
      <c r="D73" s="4" t="s">
        <v>85</v>
      </c>
      <c r="E73" s="5" t="s">
        <v>234</v>
      </c>
      <c r="F73" s="6" t="n">
        <f aca="false">IF(ISNUMBER(SEARCH(","&amp;F$1&amp;",",","&amp;$D73&amp;",")),1,0)</f>
        <v>1</v>
      </c>
      <c r="G73" s="6" t="n">
        <f aca="false">IF(ISNUMBER(SEARCH(","&amp;G$1&amp;",",","&amp;$D73&amp;",")),1,0)</f>
        <v>0</v>
      </c>
      <c r="H73" s="6" t="n">
        <f aca="false">IF(ISNUMBER(SEARCH(","&amp;H$1&amp;",",","&amp;$D73&amp;",")),1,0)</f>
        <v>0</v>
      </c>
      <c r="I73" s="6" t="n">
        <f aca="false">IF(ISNUMBER(SEARCH(","&amp;I$1&amp;",",","&amp;$D73&amp;",")),1,0)</f>
        <v>0</v>
      </c>
      <c r="J73" s="6" t="n">
        <f aca="false">IF(ISNUMBER(SEARCH(","&amp;J$1&amp;",",","&amp;$D73&amp;",")),1,0)</f>
        <v>0</v>
      </c>
      <c r="K73" s="6" t="n">
        <f aca="false">IF(ISNUMBER(SEARCH(","&amp;K$1&amp;",",","&amp;$D73&amp;",")),1,0)</f>
        <v>0</v>
      </c>
      <c r="L73" s="6" t="n">
        <f aca="false">IF(ISNUMBER(SEARCH(","&amp;L$1&amp;",",","&amp;$D73&amp;",")),1,0)</f>
        <v>0</v>
      </c>
      <c r="M73" s="6" t="n">
        <f aca="false">IF(ISNUMBER(SEARCH(","&amp;M$1&amp;",",","&amp;$D73&amp;",")),1,0)</f>
        <v>0</v>
      </c>
      <c r="N73" s="6" t="n">
        <f aca="false">IF(ISNUMBER(SEARCH(","&amp;N$1&amp;",",","&amp;$D73&amp;",")),1,0)</f>
        <v>1</v>
      </c>
    </row>
    <row r="74" customFormat="false" ht="23.85" hidden="false" customHeight="false" outlineLevel="0" collapsed="false">
      <c r="A74" s="2" t="s">
        <v>14</v>
      </c>
      <c r="B74" s="2" t="s">
        <v>235</v>
      </c>
      <c r="C74" s="3" t="s">
        <v>236</v>
      </c>
      <c r="D74" s="4" t="s">
        <v>5</v>
      </c>
      <c r="E74" s="5" t="s">
        <v>237</v>
      </c>
      <c r="F74" s="6" t="n">
        <f aca="false">IF(ISNUMBER(SEARCH(","&amp;F$1&amp;",",","&amp;$D74&amp;",")),1,0)</f>
        <v>1</v>
      </c>
      <c r="G74" s="6" t="n">
        <f aca="false">IF(ISNUMBER(SEARCH(","&amp;G$1&amp;",",","&amp;$D74&amp;",")),1,0)</f>
        <v>0</v>
      </c>
      <c r="H74" s="6" t="n">
        <f aca="false">IF(ISNUMBER(SEARCH(","&amp;H$1&amp;",",","&amp;$D74&amp;",")),1,0)</f>
        <v>0</v>
      </c>
      <c r="I74" s="6" t="n">
        <f aca="false">IF(ISNUMBER(SEARCH(","&amp;I$1&amp;",",","&amp;$D74&amp;",")),1,0)</f>
        <v>0</v>
      </c>
      <c r="J74" s="6" t="n">
        <f aca="false">IF(ISNUMBER(SEARCH(","&amp;J$1&amp;",",","&amp;$D74&amp;",")),1,0)</f>
        <v>0</v>
      </c>
      <c r="K74" s="6" t="n">
        <f aca="false">IF(ISNUMBER(SEARCH(","&amp;K$1&amp;",",","&amp;$D74&amp;",")),1,0)</f>
        <v>0</v>
      </c>
      <c r="L74" s="6" t="n">
        <f aca="false">IF(ISNUMBER(SEARCH(","&amp;L$1&amp;",",","&amp;$D74&amp;",")),1,0)</f>
        <v>0</v>
      </c>
      <c r="M74" s="6" t="n">
        <f aca="false">IF(ISNUMBER(SEARCH(","&amp;M$1&amp;",",","&amp;$D74&amp;",")),1,0)</f>
        <v>0</v>
      </c>
      <c r="N74" s="6" t="n">
        <f aca="false">IF(ISNUMBER(SEARCH(","&amp;N$1&amp;",",","&amp;$D74&amp;",")),1,0)</f>
        <v>0</v>
      </c>
    </row>
    <row r="75" customFormat="false" ht="23.85" hidden="false" customHeight="false" outlineLevel="0" collapsed="false">
      <c r="A75" s="2" t="s">
        <v>14</v>
      </c>
      <c r="B75" s="2" t="s">
        <v>238</v>
      </c>
      <c r="C75" s="3" t="s">
        <v>239</v>
      </c>
      <c r="D75" s="4" t="s">
        <v>5</v>
      </c>
      <c r="E75" s="5" t="s">
        <v>240</v>
      </c>
      <c r="F75" s="6" t="n">
        <f aca="false">IF(ISNUMBER(SEARCH(","&amp;F$1&amp;",",","&amp;$D75&amp;",")),1,0)</f>
        <v>1</v>
      </c>
      <c r="G75" s="6" t="n">
        <f aca="false">IF(ISNUMBER(SEARCH(","&amp;G$1&amp;",",","&amp;$D75&amp;",")),1,0)</f>
        <v>0</v>
      </c>
      <c r="H75" s="6" t="n">
        <f aca="false">IF(ISNUMBER(SEARCH(","&amp;H$1&amp;",",","&amp;$D75&amp;",")),1,0)</f>
        <v>0</v>
      </c>
      <c r="I75" s="6" t="n">
        <f aca="false">IF(ISNUMBER(SEARCH(","&amp;I$1&amp;",",","&amp;$D75&amp;",")),1,0)</f>
        <v>0</v>
      </c>
      <c r="J75" s="6" t="n">
        <f aca="false">IF(ISNUMBER(SEARCH(","&amp;J$1&amp;",",","&amp;$D75&amp;",")),1,0)</f>
        <v>0</v>
      </c>
      <c r="K75" s="6" t="n">
        <f aca="false">IF(ISNUMBER(SEARCH(","&amp;K$1&amp;",",","&amp;$D75&amp;",")),1,0)</f>
        <v>0</v>
      </c>
      <c r="L75" s="6" t="n">
        <f aca="false">IF(ISNUMBER(SEARCH(","&amp;L$1&amp;",",","&amp;$D75&amp;",")),1,0)</f>
        <v>0</v>
      </c>
      <c r="M75" s="6" t="n">
        <f aca="false">IF(ISNUMBER(SEARCH(","&amp;M$1&amp;",",","&amp;$D75&amp;",")),1,0)</f>
        <v>0</v>
      </c>
      <c r="N75" s="6" t="n">
        <f aca="false">IF(ISNUMBER(SEARCH(","&amp;N$1&amp;",",","&amp;$D75&amp;",")),1,0)</f>
        <v>0</v>
      </c>
    </row>
    <row r="76" customFormat="false" ht="23.85" hidden="false" customHeight="false" outlineLevel="0" collapsed="false">
      <c r="A76" s="2" t="s">
        <v>14</v>
      </c>
      <c r="B76" s="2" t="s">
        <v>241</v>
      </c>
      <c r="C76" s="3" t="s">
        <v>242</v>
      </c>
      <c r="D76" s="4" t="s">
        <v>5</v>
      </c>
      <c r="E76" s="5" t="s">
        <v>243</v>
      </c>
      <c r="F76" s="6" t="n">
        <f aca="false">IF(ISNUMBER(SEARCH(","&amp;F$1&amp;",",","&amp;$D76&amp;",")),1,0)</f>
        <v>1</v>
      </c>
      <c r="G76" s="6" t="n">
        <f aca="false">IF(ISNUMBER(SEARCH(","&amp;G$1&amp;",",","&amp;$D76&amp;",")),1,0)</f>
        <v>0</v>
      </c>
      <c r="H76" s="6" t="n">
        <f aca="false">IF(ISNUMBER(SEARCH(","&amp;H$1&amp;",",","&amp;$D76&amp;",")),1,0)</f>
        <v>0</v>
      </c>
      <c r="I76" s="6" t="n">
        <f aca="false">IF(ISNUMBER(SEARCH(","&amp;I$1&amp;",",","&amp;$D76&amp;",")),1,0)</f>
        <v>0</v>
      </c>
      <c r="J76" s="6" t="n">
        <f aca="false">IF(ISNUMBER(SEARCH(","&amp;J$1&amp;",",","&amp;$D76&amp;",")),1,0)</f>
        <v>0</v>
      </c>
      <c r="K76" s="6" t="n">
        <f aca="false">IF(ISNUMBER(SEARCH(","&amp;K$1&amp;",",","&amp;$D76&amp;",")),1,0)</f>
        <v>0</v>
      </c>
      <c r="L76" s="6" t="n">
        <f aca="false">IF(ISNUMBER(SEARCH(","&amp;L$1&amp;",",","&amp;$D76&amp;",")),1,0)</f>
        <v>0</v>
      </c>
      <c r="M76" s="6" t="n">
        <f aca="false">IF(ISNUMBER(SEARCH(","&amp;M$1&amp;",",","&amp;$D76&amp;",")),1,0)</f>
        <v>0</v>
      </c>
      <c r="N76" s="6" t="n">
        <f aca="false">IF(ISNUMBER(SEARCH(","&amp;N$1&amp;",",","&amp;$D76&amp;",")),1,0)</f>
        <v>0</v>
      </c>
    </row>
    <row r="77" customFormat="false" ht="23.85" hidden="false" customHeight="false" outlineLevel="0" collapsed="false">
      <c r="A77" s="2" t="s">
        <v>14</v>
      </c>
      <c r="B77" s="2" t="s">
        <v>244</v>
      </c>
      <c r="C77" s="3" t="s">
        <v>245</v>
      </c>
      <c r="D77" s="4" t="s">
        <v>85</v>
      </c>
      <c r="E77" s="5" t="s">
        <v>246</v>
      </c>
      <c r="F77" s="6" t="n">
        <f aca="false">IF(ISNUMBER(SEARCH(","&amp;F$1&amp;",",","&amp;$D77&amp;",")),1,0)</f>
        <v>1</v>
      </c>
      <c r="G77" s="6" t="n">
        <f aca="false">IF(ISNUMBER(SEARCH(","&amp;G$1&amp;",",","&amp;$D77&amp;",")),1,0)</f>
        <v>0</v>
      </c>
      <c r="H77" s="6" t="n">
        <f aca="false">IF(ISNUMBER(SEARCH(","&amp;H$1&amp;",",","&amp;$D77&amp;",")),1,0)</f>
        <v>0</v>
      </c>
      <c r="I77" s="6" t="n">
        <f aca="false">IF(ISNUMBER(SEARCH(","&amp;I$1&amp;",",","&amp;$D77&amp;",")),1,0)</f>
        <v>0</v>
      </c>
      <c r="J77" s="6" t="n">
        <f aca="false">IF(ISNUMBER(SEARCH(","&amp;J$1&amp;",",","&amp;$D77&amp;",")),1,0)</f>
        <v>0</v>
      </c>
      <c r="K77" s="6" t="n">
        <f aca="false">IF(ISNUMBER(SEARCH(","&amp;K$1&amp;",",","&amp;$D77&amp;",")),1,0)</f>
        <v>0</v>
      </c>
      <c r="L77" s="6" t="n">
        <f aca="false">IF(ISNUMBER(SEARCH(","&amp;L$1&amp;",",","&amp;$D77&amp;",")),1,0)</f>
        <v>0</v>
      </c>
      <c r="M77" s="6" t="n">
        <f aca="false">IF(ISNUMBER(SEARCH(","&amp;M$1&amp;",",","&amp;$D77&amp;",")),1,0)</f>
        <v>0</v>
      </c>
      <c r="N77" s="6" t="n">
        <f aca="false">IF(ISNUMBER(SEARCH(","&amp;N$1&amp;",",","&amp;$D77&amp;",")),1,0)</f>
        <v>1</v>
      </c>
    </row>
    <row r="78" customFormat="false" ht="23.85" hidden="false" customHeight="false" outlineLevel="0" collapsed="false">
      <c r="A78" s="2" t="s">
        <v>14</v>
      </c>
      <c r="B78" s="2" t="s">
        <v>247</v>
      </c>
      <c r="C78" s="3" t="s">
        <v>248</v>
      </c>
      <c r="D78" s="4" t="s">
        <v>92</v>
      </c>
      <c r="E78" s="5" t="s">
        <v>249</v>
      </c>
      <c r="F78" s="6" t="n">
        <f aca="false">IF(ISNUMBER(SEARCH(","&amp;F$1&amp;",",","&amp;$D78&amp;",")),1,0)</f>
        <v>0</v>
      </c>
      <c r="G78" s="6" t="n">
        <f aca="false">IF(ISNUMBER(SEARCH(","&amp;G$1&amp;",",","&amp;$D78&amp;",")),1,0)</f>
        <v>0</v>
      </c>
      <c r="H78" s="6" t="n">
        <f aca="false">IF(ISNUMBER(SEARCH(","&amp;H$1&amp;",",","&amp;$D78&amp;",")),1,0)</f>
        <v>1</v>
      </c>
      <c r="I78" s="6" t="n">
        <f aca="false">IF(ISNUMBER(SEARCH(","&amp;I$1&amp;",",","&amp;$D78&amp;",")),1,0)</f>
        <v>0</v>
      </c>
      <c r="J78" s="6" t="n">
        <f aca="false">IF(ISNUMBER(SEARCH(","&amp;J$1&amp;",",","&amp;$D78&amp;",")),1,0)</f>
        <v>0</v>
      </c>
      <c r="K78" s="6" t="n">
        <f aca="false">IF(ISNUMBER(SEARCH(","&amp;K$1&amp;",",","&amp;$D78&amp;",")),1,0)</f>
        <v>0</v>
      </c>
      <c r="L78" s="6" t="n">
        <f aca="false">IF(ISNUMBER(SEARCH(","&amp;L$1&amp;",",","&amp;$D78&amp;",")),1,0)</f>
        <v>0</v>
      </c>
      <c r="M78" s="6" t="n">
        <f aca="false">IF(ISNUMBER(SEARCH(","&amp;M$1&amp;",",","&amp;$D78&amp;",")),1,0)</f>
        <v>1</v>
      </c>
      <c r="N78" s="6" t="n">
        <f aca="false">IF(ISNUMBER(SEARCH(","&amp;N$1&amp;",",","&amp;$D78&amp;",")),1,0)</f>
        <v>0</v>
      </c>
    </row>
    <row r="79" customFormat="false" ht="23.85" hidden="false" customHeight="false" outlineLevel="0" collapsed="false">
      <c r="A79" s="2" t="s">
        <v>14</v>
      </c>
      <c r="B79" s="2" t="s">
        <v>250</v>
      </c>
      <c r="C79" s="3" t="s">
        <v>251</v>
      </c>
      <c r="D79" s="4" t="s">
        <v>5</v>
      </c>
      <c r="E79" s="5" t="s">
        <v>252</v>
      </c>
      <c r="F79" s="6" t="n">
        <f aca="false">IF(ISNUMBER(SEARCH(","&amp;F$1&amp;",",","&amp;$D79&amp;",")),1,0)</f>
        <v>1</v>
      </c>
      <c r="G79" s="6" t="n">
        <f aca="false">IF(ISNUMBER(SEARCH(","&amp;G$1&amp;",",","&amp;$D79&amp;",")),1,0)</f>
        <v>0</v>
      </c>
      <c r="H79" s="6" t="n">
        <f aca="false">IF(ISNUMBER(SEARCH(","&amp;H$1&amp;",",","&amp;$D79&amp;",")),1,0)</f>
        <v>0</v>
      </c>
      <c r="I79" s="6" t="n">
        <f aca="false">IF(ISNUMBER(SEARCH(","&amp;I$1&amp;",",","&amp;$D79&amp;",")),1,0)</f>
        <v>0</v>
      </c>
      <c r="J79" s="6" t="n">
        <f aca="false">IF(ISNUMBER(SEARCH(","&amp;J$1&amp;",",","&amp;$D79&amp;",")),1,0)</f>
        <v>0</v>
      </c>
      <c r="K79" s="6" t="n">
        <f aca="false">IF(ISNUMBER(SEARCH(","&amp;K$1&amp;",",","&amp;$D79&amp;",")),1,0)</f>
        <v>0</v>
      </c>
      <c r="L79" s="6" t="n">
        <f aca="false">IF(ISNUMBER(SEARCH(","&amp;L$1&amp;",",","&amp;$D79&amp;",")),1,0)</f>
        <v>0</v>
      </c>
      <c r="M79" s="6" t="n">
        <f aca="false">IF(ISNUMBER(SEARCH(","&amp;M$1&amp;",",","&amp;$D79&amp;",")),1,0)</f>
        <v>0</v>
      </c>
      <c r="N79" s="6" t="n">
        <f aca="false">IF(ISNUMBER(SEARCH(","&amp;N$1&amp;",",","&amp;$D79&amp;",")),1,0)</f>
        <v>0</v>
      </c>
    </row>
    <row r="80" customFormat="false" ht="23.85" hidden="false" customHeight="false" outlineLevel="0" collapsed="false">
      <c r="A80" s="2" t="s">
        <v>14</v>
      </c>
      <c r="B80" s="2" t="s">
        <v>253</v>
      </c>
      <c r="C80" s="3" t="s">
        <v>254</v>
      </c>
      <c r="D80" s="4" t="s">
        <v>12</v>
      </c>
      <c r="E80" s="5" t="s">
        <v>255</v>
      </c>
      <c r="F80" s="6" t="n">
        <f aca="false">IF(ISNUMBER(SEARCH(","&amp;F$1&amp;",",","&amp;$D80&amp;",")),1,0)</f>
        <v>0</v>
      </c>
      <c r="G80" s="6" t="n">
        <f aca="false">IF(ISNUMBER(SEARCH(","&amp;G$1&amp;",",","&amp;$D80&amp;",")),1,0)</f>
        <v>0</v>
      </c>
      <c r="H80" s="6" t="n">
        <f aca="false">IF(ISNUMBER(SEARCH(","&amp;H$1&amp;",",","&amp;$D80&amp;",")),1,0)</f>
        <v>0</v>
      </c>
      <c r="I80" s="6" t="n">
        <f aca="false">IF(ISNUMBER(SEARCH(","&amp;I$1&amp;",",","&amp;$D80&amp;",")),1,0)</f>
        <v>0</v>
      </c>
      <c r="J80" s="6" t="n">
        <f aca="false">IF(ISNUMBER(SEARCH(","&amp;J$1&amp;",",","&amp;$D80&amp;",")),1,0)</f>
        <v>0</v>
      </c>
      <c r="K80" s="6" t="n">
        <f aca="false">IF(ISNUMBER(SEARCH(","&amp;K$1&amp;",",","&amp;$D80&amp;",")),1,0)</f>
        <v>0</v>
      </c>
      <c r="L80" s="6" t="n">
        <f aca="false">IF(ISNUMBER(SEARCH(","&amp;L$1&amp;",",","&amp;$D80&amp;",")),1,0)</f>
        <v>0</v>
      </c>
      <c r="M80" s="6" t="n">
        <f aca="false">IF(ISNUMBER(SEARCH(","&amp;M$1&amp;",",","&amp;$D80&amp;",")),1,0)</f>
        <v>1</v>
      </c>
      <c r="N80" s="6" t="n">
        <f aca="false">IF(ISNUMBER(SEARCH(","&amp;N$1&amp;",",","&amp;$D80&amp;",")),1,0)</f>
        <v>0</v>
      </c>
    </row>
    <row r="81" customFormat="false" ht="23.85" hidden="false" customHeight="false" outlineLevel="0" collapsed="false">
      <c r="A81" s="2" t="s">
        <v>14</v>
      </c>
      <c r="B81" s="2" t="s">
        <v>256</v>
      </c>
      <c r="C81" s="3" t="s">
        <v>257</v>
      </c>
      <c r="D81" s="4" t="s">
        <v>12</v>
      </c>
      <c r="E81" s="5" t="s">
        <v>258</v>
      </c>
      <c r="F81" s="6" t="n">
        <f aca="false">IF(ISNUMBER(SEARCH(","&amp;F$1&amp;",",","&amp;$D81&amp;",")),1,0)</f>
        <v>0</v>
      </c>
      <c r="G81" s="6" t="n">
        <f aca="false">IF(ISNUMBER(SEARCH(","&amp;G$1&amp;",",","&amp;$D81&amp;",")),1,0)</f>
        <v>0</v>
      </c>
      <c r="H81" s="6" t="n">
        <f aca="false">IF(ISNUMBER(SEARCH(","&amp;H$1&amp;",",","&amp;$D81&amp;",")),1,0)</f>
        <v>0</v>
      </c>
      <c r="I81" s="6" t="n">
        <f aca="false">IF(ISNUMBER(SEARCH(","&amp;I$1&amp;",",","&amp;$D81&amp;",")),1,0)</f>
        <v>0</v>
      </c>
      <c r="J81" s="6" t="n">
        <f aca="false">IF(ISNUMBER(SEARCH(","&amp;J$1&amp;",",","&amp;$D81&amp;",")),1,0)</f>
        <v>0</v>
      </c>
      <c r="K81" s="6" t="n">
        <f aca="false">IF(ISNUMBER(SEARCH(","&amp;K$1&amp;",",","&amp;$D81&amp;",")),1,0)</f>
        <v>0</v>
      </c>
      <c r="L81" s="6" t="n">
        <f aca="false">IF(ISNUMBER(SEARCH(","&amp;L$1&amp;",",","&amp;$D81&amp;",")),1,0)</f>
        <v>0</v>
      </c>
      <c r="M81" s="6" t="n">
        <f aca="false">IF(ISNUMBER(SEARCH(","&amp;M$1&amp;",",","&amp;$D81&amp;",")),1,0)</f>
        <v>1</v>
      </c>
      <c r="N81" s="6" t="n">
        <f aca="false">IF(ISNUMBER(SEARCH(","&amp;N$1&amp;",",","&amp;$D81&amp;",")),1,0)</f>
        <v>0</v>
      </c>
    </row>
    <row r="82" customFormat="false" ht="23.85" hidden="false" customHeight="false" outlineLevel="0" collapsed="false">
      <c r="A82" s="2" t="s">
        <v>14</v>
      </c>
      <c r="B82" s="2" t="s">
        <v>259</v>
      </c>
      <c r="C82" s="3" t="s">
        <v>260</v>
      </c>
      <c r="D82" s="4" t="s">
        <v>12</v>
      </c>
      <c r="E82" s="5" t="s">
        <v>261</v>
      </c>
      <c r="F82" s="6" t="n">
        <f aca="false">IF(ISNUMBER(SEARCH(","&amp;F$1&amp;",",","&amp;$D82&amp;",")),1,0)</f>
        <v>0</v>
      </c>
      <c r="G82" s="6" t="n">
        <f aca="false">IF(ISNUMBER(SEARCH(","&amp;G$1&amp;",",","&amp;$D82&amp;",")),1,0)</f>
        <v>0</v>
      </c>
      <c r="H82" s="6" t="n">
        <f aca="false">IF(ISNUMBER(SEARCH(","&amp;H$1&amp;",",","&amp;$D82&amp;",")),1,0)</f>
        <v>0</v>
      </c>
      <c r="I82" s="6" t="n">
        <f aca="false">IF(ISNUMBER(SEARCH(","&amp;I$1&amp;",",","&amp;$D82&amp;",")),1,0)</f>
        <v>0</v>
      </c>
      <c r="J82" s="6" t="n">
        <f aca="false">IF(ISNUMBER(SEARCH(","&amp;J$1&amp;",",","&amp;$D82&amp;",")),1,0)</f>
        <v>0</v>
      </c>
      <c r="K82" s="6" t="n">
        <f aca="false">IF(ISNUMBER(SEARCH(","&amp;K$1&amp;",",","&amp;$D82&amp;",")),1,0)</f>
        <v>0</v>
      </c>
      <c r="L82" s="6" t="n">
        <f aca="false">IF(ISNUMBER(SEARCH(","&amp;L$1&amp;",",","&amp;$D82&amp;",")),1,0)</f>
        <v>0</v>
      </c>
      <c r="M82" s="6" t="n">
        <f aca="false">IF(ISNUMBER(SEARCH(","&amp;M$1&amp;",",","&amp;$D82&amp;",")),1,0)</f>
        <v>1</v>
      </c>
      <c r="N82" s="6" t="n">
        <f aca="false">IF(ISNUMBER(SEARCH(","&amp;N$1&amp;",",","&amp;$D82&amp;",")),1,0)</f>
        <v>0</v>
      </c>
    </row>
    <row r="83" customFormat="false" ht="23.85" hidden="false" customHeight="false" outlineLevel="0" collapsed="false">
      <c r="A83" s="2" t="s">
        <v>14</v>
      </c>
      <c r="B83" s="2" t="s">
        <v>262</v>
      </c>
      <c r="C83" s="3" t="s">
        <v>263</v>
      </c>
      <c r="D83" s="4" t="s">
        <v>12</v>
      </c>
      <c r="E83" s="5" t="s">
        <v>264</v>
      </c>
      <c r="F83" s="6" t="n">
        <f aca="false">IF(ISNUMBER(SEARCH(","&amp;F$1&amp;",",","&amp;$D83&amp;",")),1,0)</f>
        <v>0</v>
      </c>
      <c r="G83" s="6" t="n">
        <f aca="false">IF(ISNUMBER(SEARCH(","&amp;G$1&amp;",",","&amp;$D83&amp;",")),1,0)</f>
        <v>0</v>
      </c>
      <c r="H83" s="6" t="n">
        <f aca="false">IF(ISNUMBER(SEARCH(","&amp;H$1&amp;",",","&amp;$D83&amp;",")),1,0)</f>
        <v>0</v>
      </c>
      <c r="I83" s="6" t="n">
        <f aca="false">IF(ISNUMBER(SEARCH(","&amp;I$1&amp;",",","&amp;$D83&amp;",")),1,0)</f>
        <v>0</v>
      </c>
      <c r="J83" s="6" t="n">
        <f aca="false">IF(ISNUMBER(SEARCH(","&amp;J$1&amp;",",","&amp;$D83&amp;",")),1,0)</f>
        <v>0</v>
      </c>
      <c r="K83" s="6" t="n">
        <f aca="false">IF(ISNUMBER(SEARCH(","&amp;K$1&amp;",",","&amp;$D83&amp;",")),1,0)</f>
        <v>0</v>
      </c>
      <c r="L83" s="6" t="n">
        <f aca="false">IF(ISNUMBER(SEARCH(","&amp;L$1&amp;",",","&amp;$D83&amp;",")),1,0)</f>
        <v>0</v>
      </c>
      <c r="M83" s="6" t="n">
        <f aca="false">IF(ISNUMBER(SEARCH(","&amp;M$1&amp;",",","&amp;$D83&amp;",")),1,0)</f>
        <v>1</v>
      </c>
      <c r="N83" s="6" t="n">
        <f aca="false">IF(ISNUMBER(SEARCH(","&amp;N$1&amp;",",","&amp;$D83&amp;",")),1,0)</f>
        <v>0</v>
      </c>
    </row>
    <row r="84" customFormat="false" ht="23.85" hidden="false" customHeight="false" outlineLevel="0" collapsed="false">
      <c r="A84" s="2" t="s">
        <v>14</v>
      </c>
      <c r="B84" s="2" t="s">
        <v>265</v>
      </c>
      <c r="C84" s="3" t="s">
        <v>266</v>
      </c>
      <c r="D84" s="4" t="s">
        <v>5</v>
      </c>
      <c r="E84" s="5" t="s">
        <v>267</v>
      </c>
      <c r="F84" s="6" t="n">
        <f aca="false">IF(ISNUMBER(SEARCH(","&amp;F$1&amp;",",","&amp;$D84&amp;",")),1,0)</f>
        <v>1</v>
      </c>
      <c r="G84" s="6" t="n">
        <f aca="false">IF(ISNUMBER(SEARCH(","&amp;G$1&amp;",",","&amp;$D84&amp;",")),1,0)</f>
        <v>0</v>
      </c>
      <c r="H84" s="6" t="n">
        <f aca="false">IF(ISNUMBER(SEARCH(","&amp;H$1&amp;",",","&amp;$D84&amp;",")),1,0)</f>
        <v>0</v>
      </c>
      <c r="I84" s="6" t="n">
        <f aca="false">IF(ISNUMBER(SEARCH(","&amp;I$1&amp;",",","&amp;$D84&amp;",")),1,0)</f>
        <v>0</v>
      </c>
      <c r="J84" s="6" t="n">
        <f aca="false">IF(ISNUMBER(SEARCH(","&amp;J$1&amp;",",","&amp;$D84&amp;",")),1,0)</f>
        <v>0</v>
      </c>
      <c r="K84" s="6" t="n">
        <f aca="false">IF(ISNUMBER(SEARCH(","&amp;K$1&amp;",",","&amp;$D84&amp;",")),1,0)</f>
        <v>0</v>
      </c>
      <c r="L84" s="6" t="n">
        <f aca="false">IF(ISNUMBER(SEARCH(","&amp;L$1&amp;",",","&amp;$D84&amp;",")),1,0)</f>
        <v>0</v>
      </c>
      <c r="M84" s="6" t="n">
        <f aca="false">IF(ISNUMBER(SEARCH(","&amp;M$1&amp;",",","&amp;$D84&amp;",")),1,0)</f>
        <v>0</v>
      </c>
      <c r="N84" s="6" t="n">
        <f aca="false">IF(ISNUMBER(SEARCH(","&amp;N$1&amp;",",","&amp;$D84&amp;",")),1,0)</f>
        <v>0</v>
      </c>
    </row>
    <row r="85" customFormat="false" ht="23.85" hidden="false" customHeight="false" outlineLevel="0" collapsed="false">
      <c r="A85" s="2" t="s">
        <v>14</v>
      </c>
      <c r="B85" s="2" t="s">
        <v>268</v>
      </c>
      <c r="C85" s="3" t="s">
        <v>269</v>
      </c>
      <c r="D85" s="4" t="s">
        <v>12</v>
      </c>
      <c r="E85" s="5" t="s">
        <v>270</v>
      </c>
      <c r="F85" s="6" t="n">
        <f aca="false">IF(ISNUMBER(SEARCH(","&amp;F$1&amp;",",","&amp;$D85&amp;",")),1,0)</f>
        <v>0</v>
      </c>
      <c r="G85" s="6" t="n">
        <f aca="false">IF(ISNUMBER(SEARCH(","&amp;G$1&amp;",",","&amp;$D85&amp;",")),1,0)</f>
        <v>0</v>
      </c>
      <c r="H85" s="6" t="n">
        <f aca="false">IF(ISNUMBER(SEARCH(","&amp;H$1&amp;",",","&amp;$D85&amp;",")),1,0)</f>
        <v>0</v>
      </c>
      <c r="I85" s="6" t="n">
        <f aca="false">IF(ISNUMBER(SEARCH(","&amp;I$1&amp;",",","&amp;$D85&amp;",")),1,0)</f>
        <v>0</v>
      </c>
      <c r="J85" s="6" t="n">
        <f aca="false">IF(ISNUMBER(SEARCH(","&amp;J$1&amp;",",","&amp;$D85&amp;",")),1,0)</f>
        <v>0</v>
      </c>
      <c r="K85" s="6" t="n">
        <f aca="false">IF(ISNUMBER(SEARCH(","&amp;K$1&amp;",",","&amp;$D85&amp;",")),1,0)</f>
        <v>0</v>
      </c>
      <c r="L85" s="6" t="n">
        <f aca="false">IF(ISNUMBER(SEARCH(","&amp;L$1&amp;",",","&amp;$D85&amp;",")),1,0)</f>
        <v>0</v>
      </c>
      <c r="M85" s="6" t="n">
        <f aca="false">IF(ISNUMBER(SEARCH(","&amp;M$1&amp;",",","&amp;$D85&amp;",")),1,0)</f>
        <v>1</v>
      </c>
      <c r="N85" s="6" t="n">
        <f aca="false">IF(ISNUMBER(SEARCH(","&amp;N$1&amp;",",","&amp;$D85&amp;",")),1,0)</f>
        <v>0</v>
      </c>
    </row>
    <row r="86" customFormat="false" ht="23.85" hidden="false" customHeight="false" outlineLevel="0" collapsed="false">
      <c r="A86" s="2" t="s">
        <v>14</v>
      </c>
      <c r="B86" s="2" t="s">
        <v>271</v>
      </c>
      <c r="C86" s="3" t="s">
        <v>272</v>
      </c>
      <c r="D86" s="4" t="s">
        <v>5</v>
      </c>
      <c r="E86" s="5" t="s">
        <v>273</v>
      </c>
      <c r="F86" s="6" t="n">
        <f aca="false">IF(ISNUMBER(SEARCH(","&amp;F$1&amp;",",","&amp;$D86&amp;",")),1,0)</f>
        <v>1</v>
      </c>
      <c r="G86" s="6" t="n">
        <f aca="false">IF(ISNUMBER(SEARCH(","&amp;G$1&amp;",",","&amp;$D86&amp;",")),1,0)</f>
        <v>0</v>
      </c>
      <c r="H86" s="6" t="n">
        <f aca="false">IF(ISNUMBER(SEARCH(","&amp;H$1&amp;",",","&amp;$D86&amp;",")),1,0)</f>
        <v>0</v>
      </c>
      <c r="I86" s="6" t="n">
        <f aca="false">IF(ISNUMBER(SEARCH(","&amp;I$1&amp;",",","&amp;$D86&amp;",")),1,0)</f>
        <v>0</v>
      </c>
      <c r="J86" s="6" t="n">
        <f aca="false">IF(ISNUMBER(SEARCH(","&amp;J$1&amp;",",","&amp;$D86&amp;",")),1,0)</f>
        <v>0</v>
      </c>
      <c r="K86" s="6" t="n">
        <f aca="false">IF(ISNUMBER(SEARCH(","&amp;K$1&amp;",",","&amp;$D86&amp;",")),1,0)</f>
        <v>0</v>
      </c>
      <c r="L86" s="6" t="n">
        <f aca="false">IF(ISNUMBER(SEARCH(","&amp;L$1&amp;",",","&amp;$D86&amp;",")),1,0)</f>
        <v>0</v>
      </c>
      <c r="M86" s="6" t="n">
        <f aca="false">IF(ISNUMBER(SEARCH(","&amp;M$1&amp;",",","&amp;$D86&amp;",")),1,0)</f>
        <v>0</v>
      </c>
      <c r="N86" s="6" t="n">
        <f aca="false">IF(ISNUMBER(SEARCH(","&amp;N$1&amp;",",","&amp;$D86&amp;",")),1,0)</f>
        <v>0</v>
      </c>
    </row>
    <row r="87" customFormat="false" ht="23.85" hidden="false" customHeight="false" outlineLevel="0" collapsed="false">
      <c r="A87" s="2" t="s">
        <v>14</v>
      </c>
      <c r="B87" s="2" t="s">
        <v>274</v>
      </c>
      <c r="C87" s="3" t="s">
        <v>275</v>
      </c>
      <c r="D87" s="4" t="s">
        <v>8</v>
      </c>
      <c r="E87" s="5" t="s">
        <v>276</v>
      </c>
      <c r="F87" s="6" t="n">
        <f aca="false">IF(ISNUMBER(SEARCH(","&amp;F$1&amp;",",","&amp;$D87&amp;",")),1,0)</f>
        <v>0</v>
      </c>
      <c r="G87" s="6" t="n">
        <f aca="false">IF(ISNUMBER(SEARCH(","&amp;G$1&amp;",",","&amp;$D87&amp;",")),1,0)</f>
        <v>0</v>
      </c>
      <c r="H87" s="6" t="n">
        <f aca="false">IF(ISNUMBER(SEARCH(","&amp;H$1&amp;",",","&amp;$D87&amp;",")),1,0)</f>
        <v>0</v>
      </c>
      <c r="I87" s="6" t="n">
        <f aca="false">IF(ISNUMBER(SEARCH(","&amp;I$1&amp;",",","&amp;$D87&amp;",")),1,0)</f>
        <v>1</v>
      </c>
      <c r="J87" s="6" t="n">
        <f aca="false">IF(ISNUMBER(SEARCH(","&amp;J$1&amp;",",","&amp;$D87&amp;",")),1,0)</f>
        <v>0</v>
      </c>
      <c r="K87" s="6" t="n">
        <f aca="false">IF(ISNUMBER(SEARCH(","&amp;K$1&amp;",",","&amp;$D87&amp;",")),1,0)</f>
        <v>0</v>
      </c>
      <c r="L87" s="6" t="n">
        <f aca="false">IF(ISNUMBER(SEARCH(","&amp;L$1&amp;",",","&amp;$D87&amp;",")),1,0)</f>
        <v>0</v>
      </c>
      <c r="M87" s="6" t="n">
        <f aca="false">IF(ISNUMBER(SEARCH(","&amp;M$1&amp;",",","&amp;$D87&amp;",")),1,0)</f>
        <v>0</v>
      </c>
      <c r="N87" s="6" t="n">
        <f aca="false">IF(ISNUMBER(SEARCH(","&amp;N$1&amp;",",","&amp;$D87&amp;",")),1,0)</f>
        <v>0</v>
      </c>
    </row>
    <row r="88" customFormat="false" ht="23.85" hidden="false" customHeight="false" outlineLevel="0" collapsed="false">
      <c r="A88" s="2" t="s">
        <v>14</v>
      </c>
      <c r="B88" s="2" t="s">
        <v>277</v>
      </c>
      <c r="C88" s="3" t="s">
        <v>278</v>
      </c>
      <c r="D88" s="4" t="s">
        <v>6</v>
      </c>
      <c r="E88" s="5" t="s">
        <v>279</v>
      </c>
      <c r="F88" s="6" t="n">
        <f aca="false">IF(ISNUMBER(SEARCH(","&amp;F$1&amp;",",","&amp;$D88&amp;",")),1,0)</f>
        <v>0</v>
      </c>
      <c r="G88" s="6" t="n">
        <f aca="false">IF(ISNUMBER(SEARCH(","&amp;G$1&amp;",",","&amp;$D88&amp;",")),1,0)</f>
        <v>1</v>
      </c>
      <c r="H88" s="6" t="n">
        <f aca="false">IF(ISNUMBER(SEARCH(","&amp;H$1&amp;",",","&amp;$D88&amp;",")),1,0)</f>
        <v>0</v>
      </c>
      <c r="I88" s="6" t="n">
        <f aca="false">IF(ISNUMBER(SEARCH(","&amp;I$1&amp;",",","&amp;$D88&amp;",")),1,0)</f>
        <v>0</v>
      </c>
      <c r="J88" s="6" t="n">
        <f aca="false">IF(ISNUMBER(SEARCH(","&amp;J$1&amp;",",","&amp;$D88&amp;",")),1,0)</f>
        <v>0</v>
      </c>
      <c r="K88" s="6" t="n">
        <f aca="false">IF(ISNUMBER(SEARCH(","&amp;K$1&amp;",",","&amp;$D88&amp;",")),1,0)</f>
        <v>0</v>
      </c>
      <c r="L88" s="6" t="n">
        <f aca="false">IF(ISNUMBER(SEARCH(","&amp;L$1&amp;",",","&amp;$D88&amp;",")),1,0)</f>
        <v>0</v>
      </c>
      <c r="M88" s="6" t="n">
        <f aca="false">IF(ISNUMBER(SEARCH(","&amp;M$1&amp;",",","&amp;$D88&amp;",")),1,0)</f>
        <v>0</v>
      </c>
      <c r="N88" s="6" t="n">
        <f aca="false">IF(ISNUMBER(SEARCH(","&amp;N$1&amp;",",","&amp;$D88&amp;",")),1,0)</f>
        <v>0</v>
      </c>
    </row>
    <row r="89" customFormat="false" ht="35.05" hidden="false" customHeight="false" outlineLevel="0" collapsed="false">
      <c r="A89" s="2" t="s">
        <v>14</v>
      </c>
      <c r="B89" s="2" t="s">
        <v>280</v>
      </c>
      <c r="C89" s="3" t="s">
        <v>281</v>
      </c>
      <c r="D89" s="4" t="s">
        <v>8</v>
      </c>
      <c r="E89" s="5" t="s">
        <v>282</v>
      </c>
      <c r="F89" s="6" t="n">
        <f aca="false">IF(ISNUMBER(SEARCH(","&amp;F$1&amp;",",","&amp;$D89&amp;",")),1,0)</f>
        <v>0</v>
      </c>
      <c r="G89" s="6" t="n">
        <f aca="false">IF(ISNUMBER(SEARCH(","&amp;G$1&amp;",",","&amp;$D89&amp;",")),1,0)</f>
        <v>0</v>
      </c>
      <c r="H89" s="6" t="n">
        <f aca="false">IF(ISNUMBER(SEARCH(","&amp;H$1&amp;",",","&amp;$D89&amp;",")),1,0)</f>
        <v>0</v>
      </c>
      <c r="I89" s="6" t="n">
        <f aca="false">IF(ISNUMBER(SEARCH(","&amp;I$1&amp;",",","&amp;$D89&amp;",")),1,0)</f>
        <v>1</v>
      </c>
      <c r="J89" s="6" t="n">
        <f aca="false">IF(ISNUMBER(SEARCH(","&amp;J$1&amp;",",","&amp;$D89&amp;",")),1,0)</f>
        <v>0</v>
      </c>
      <c r="K89" s="6" t="n">
        <f aca="false">IF(ISNUMBER(SEARCH(","&amp;K$1&amp;",",","&amp;$D89&amp;",")),1,0)</f>
        <v>0</v>
      </c>
      <c r="L89" s="6" t="n">
        <f aca="false">IF(ISNUMBER(SEARCH(","&amp;L$1&amp;",",","&amp;$D89&amp;",")),1,0)</f>
        <v>0</v>
      </c>
      <c r="M89" s="6" t="n">
        <f aca="false">IF(ISNUMBER(SEARCH(","&amp;M$1&amp;",",","&amp;$D89&amp;",")),1,0)</f>
        <v>0</v>
      </c>
      <c r="N89" s="6" t="n">
        <f aca="false">IF(ISNUMBER(SEARCH(","&amp;N$1&amp;",",","&amp;$D89&amp;",")),1,0)</f>
        <v>0</v>
      </c>
    </row>
    <row r="90" customFormat="false" ht="23.85" hidden="false" customHeight="false" outlineLevel="0" collapsed="false">
      <c r="A90" s="2" t="s">
        <v>14</v>
      </c>
      <c r="B90" s="2" t="s">
        <v>283</v>
      </c>
      <c r="C90" s="3" t="s">
        <v>284</v>
      </c>
      <c r="D90" s="4" t="s">
        <v>8</v>
      </c>
      <c r="E90" s="5" t="s">
        <v>276</v>
      </c>
      <c r="F90" s="6" t="n">
        <f aca="false">IF(ISNUMBER(SEARCH(","&amp;F$1&amp;",",","&amp;$D90&amp;",")),1,0)</f>
        <v>0</v>
      </c>
      <c r="G90" s="6" t="n">
        <f aca="false">IF(ISNUMBER(SEARCH(","&amp;G$1&amp;",",","&amp;$D90&amp;",")),1,0)</f>
        <v>0</v>
      </c>
      <c r="H90" s="6" t="n">
        <f aca="false">IF(ISNUMBER(SEARCH(","&amp;H$1&amp;",",","&amp;$D90&amp;",")),1,0)</f>
        <v>0</v>
      </c>
      <c r="I90" s="6" t="n">
        <f aca="false">IF(ISNUMBER(SEARCH(","&amp;I$1&amp;",",","&amp;$D90&amp;",")),1,0)</f>
        <v>1</v>
      </c>
      <c r="J90" s="6" t="n">
        <f aca="false">IF(ISNUMBER(SEARCH(","&amp;J$1&amp;",",","&amp;$D90&amp;",")),1,0)</f>
        <v>0</v>
      </c>
      <c r="K90" s="6" t="n">
        <f aca="false">IF(ISNUMBER(SEARCH(","&amp;K$1&amp;",",","&amp;$D90&amp;",")),1,0)</f>
        <v>0</v>
      </c>
      <c r="L90" s="6" t="n">
        <f aca="false">IF(ISNUMBER(SEARCH(","&amp;L$1&amp;",",","&amp;$D90&amp;",")),1,0)</f>
        <v>0</v>
      </c>
      <c r="M90" s="6" t="n">
        <f aca="false">IF(ISNUMBER(SEARCH(","&amp;M$1&amp;",",","&amp;$D90&amp;",")),1,0)</f>
        <v>0</v>
      </c>
      <c r="N90" s="6" t="n">
        <f aca="false">IF(ISNUMBER(SEARCH(","&amp;N$1&amp;",",","&amp;$D90&amp;",")),1,0)</f>
        <v>0</v>
      </c>
    </row>
    <row r="91" customFormat="false" ht="23.85" hidden="false" customHeight="false" outlineLevel="0" collapsed="false">
      <c r="A91" s="2" t="s">
        <v>285</v>
      </c>
      <c r="B91" s="2" t="s">
        <v>286</v>
      </c>
      <c r="C91" s="3" t="s">
        <v>287</v>
      </c>
      <c r="D91" s="4" t="s">
        <v>32</v>
      </c>
      <c r="E91" s="5" t="s">
        <v>288</v>
      </c>
      <c r="F91" s="6" t="n">
        <f aca="false">IF(ISNUMBER(SEARCH(","&amp;F$1&amp;",",","&amp;$D91&amp;",")),1,0)</f>
        <v>0</v>
      </c>
      <c r="G91" s="6" t="n">
        <f aca="false">IF(ISNUMBER(SEARCH(","&amp;G$1&amp;",",","&amp;$D91&amp;",")),1,0)</f>
        <v>1</v>
      </c>
      <c r="H91" s="6" t="n">
        <f aca="false">IF(ISNUMBER(SEARCH(","&amp;H$1&amp;",",","&amp;$D91&amp;",")),1,0)</f>
        <v>0</v>
      </c>
      <c r="I91" s="6" t="n">
        <f aca="false">IF(ISNUMBER(SEARCH(","&amp;I$1&amp;",",","&amp;$D91&amp;",")),1,0)</f>
        <v>0</v>
      </c>
      <c r="J91" s="6" t="n">
        <f aca="false">IF(ISNUMBER(SEARCH(","&amp;J$1&amp;",",","&amp;$D91&amp;",")),1,0)</f>
        <v>0</v>
      </c>
      <c r="K91" s="6" t="n">
        <f aca="false">IF(ISNUMBER(SEARCH(","&amp;K$1&amp;",",","&amp;$D91&amp;",")),1,0)</f>
        <v>0</v>
      </c>
      <c r="L91" s="6" t="n">
        <f aca="false">IF(ISNUMBER(SEARCH(","&amp;L$1&amp;",",","&amp;$D91&amp;",")),1,0)</f>
        <v>0</v>
      </c>
      <c r="M91" s="6" t="n">
        <f aca="false">IF(ISNUMBER(SEARCH(","&amp;M$1&amp;",",","&amp;$D91&amp;",")),1,0)</f>
        <v>1</v>
      </c>
      <c r="N91" s="6" t="n">
        <f aca="false">IF(ISNUMBER(SEARCH(","&amp;N$1&amp;",",","&amp;$D91&amp;",")),1,0)</f>
        <v>0</v>
      </c>
    </row>
    <row r="92" customFormat="false" ht="23.85" hidden="false" customHeight="false" outlineLevel="0" collapsed="false">
      <c r="A92" s="2" t="s">
        <v>285</v>
      </c>
      <c r="B92" s="2" t="s">
        <v>289</v>
      </c>
      <c r="C92" s="3" t="s">
        <v>290</v>
      </c>
      <c r="D92" s="4" t="s">
        <v>32</v>
      </c>
      <c r="E92" s="5" t="s">
        <v>291</v>
      </c>
      <c r="F92" s="6" t="n">
        <f aca="false">IF(ISNUMBER(SEARCH(","&amp;F$1&amp;",",","&amp;$D92&amp;",")),1,0)</f>
        <v>0</v>
      </c>
      <c r="G92" s="6" t="n">
        <f aca="false">IF(ISNUMBER(SEARCH(","&amp;G$1&amp;",",","&amp;$D92&amp;",")),1,0)</f>
        <v>1</v>
      </c>
      <c r="H92" s="6" t="n">
        <f aca="false">IF(ISNUMBER(SEARCH(","&amp;H$1&amp;",",","&amp;$D92&amp;",")),1,0)</f>
        <v>0</v>
      </c>
      <c r="I92" s="6" t="n">
        <f aca="false">IF(ISNUMBER(SEARCH(","&amp;I$1&amp;",",","&amp;$D92&amp;",")),1,0)</f>
        <v>0</v>
      </c>
      <c r="J92" s="6" t="n">
        <f aca="false">IF(ISNUMBER(SEARCH(","&amp;J$1&amp;",",","&amp;$D92&amp;",")),1,0)</f>
        <v>0</v>
      </c>
      <c r="K92" s="6" t="n">
        <f aca="false">IF(ISNUMBER(SEARCH(","&amp;K$1&amp;",",","&amp;$D92&amp;",")),1,0)</f>
        <v>0</v>
      </c>
      <c r="L92" s="6" t="n">
        <f aca="false">IF(ISNUMBER(SEARCH(","&amp;L$1&amp;",",","&amp;$D92&amp;",")),1,0)</f>
        <v>0</v>
      </c>
      <c r="M92" s="6" t="n">
        <f aca="false">IF(ISNUMBER(SEARCH(","&amp;M$1&amp;",",","&amp;$D92&amp;",")),1,0)</f>
        <v>1</v>
      </c>
      <c r="N92" s="6" t="n">
        <f aca="false">IF(ISNUMBER(SEARCH(","&amp;N$1&amp;",",","&amp;$D92&amp;",")),1,0)</f>
        <v>0</v>
      </c>
    </row>
    <row r="93" customFormat="false" ht="15" hidden="false" customHeight="false" outlineLevel="0" collapsed="false">
      <c r="A93" s="2" t="s">
        <v>285</v>
      </c>
      <c r="B93" s="2" t="s">
        <v>292</v>
      </c>
      <c r="C93" s="3" t="s">
        <v>293</v>
      </c>
      <c r="D93" s="4" t="s">
        <v>32</v>
      </c>
      <c r="E93" s="5" t="s">
        <v>294</v>
      </c>
      <c r="F93" s="6" t="n">
        <f aca="false">IF(ISNUMBER(SEARCH(","&amp;F$1&amp;",",","&amp;$D93&amp;",")),1,0)</f>
        <v>0</v>
      </c>
      <c r="G93" s="6" t="n">
        <f aca="false">IF(ISNUMBER(SEARCH(","&amp;G$1&amp;",",","&amp;$D93&amp;",")),1,0)</f>
        <v>1</v>
      </c>
      <c r="H93" s="6" t="n">
        <f aca="false">IF(ISNUMBER(SEARCH(","&amp;H$1&amp;",",","&amp;$D93&amp;",")),1,0)</f>
        <v>0</v>
      </c>
      <c r="I93" s="6" t="n">
        <f aca="false">IF(ISNUMBER(SEARCH(","&amp;I$1&amp;",",","&amp;$D93&amp;",")),1,0)</f>
        <v>0</v>
      </c>
      <c r="J93" s="6" t="n">
        <f aca="false">IF(ISNUMBER(SEARCH(","&amp;J$1&amp;",",","&amp;$D93&amp;",")),1,0)</f>
        <v>0</v>
      </c>
      <c r="K93" s="6" t="n">
        <f aca="false">IF(ISNUMBER(SEARCH(","&amp;K$1&amp;",",","&amp;$D93&amp;",")),1,0)</f>
        <v>0</v>
      </c>
      <c r="L93" s="6" t="n">
        <f aca="false">IF(ISNUMBER(SEARCH(","&amp;L$1&amp;",",","&amp;$D93&amp;",")),1,0)</f>
        <v>0</v>
      </c>
      <c r="M93" s="6" t="n">
        <f aca="false">IF(ISNUMBER(SEARCH(","&amp;M$1&amp;",",","&amp;$D93&amp;",")),1,0)</f>
        <v>1</v>
      </c>
      <c r="N93" s="6" t="n">
        <f aca="false">IF(ISNUMBER(SEARCH(","&amp;N$1&amp;",",","&amp;$D93&amp;",")),1,0)</f>
        <v>0</v>
      </c>
    </row>
    <row r="94" customFormat="false" ht="15" hidden="false" customHeight="false" outlineLevel="0" collapsed="false">
      <c r="A94" s="2" t="s">
        <v>285</v>
      </c>
      <c r="B94" s="2" t="s">
        <v>295</v>
      </c>
      <c r="C94" s="3" t="s">
        <v>296</v>
      </c>
      <c r="D94" s="4" t="s">
        <v>32</v>
      </c>
      <c r="E94" s="5" t="s">
        <v>297</v>
      </c>
      <c r="F94" s="6" t="n">
        <f aca="false">IF(ISNUMBER(SEARCH(","&amp;F$1&amp;",",","&amp;$D94&amp;",")),1,0)</f>
        <v>0</v>
      </c>
      <c r="G94" s="6" t="n">
        <f aca="false">IF(ISNUMBER(SEARCH(","&amp;G$1&amp;",",","&amp;$D94&amp;",")),1,0)</f>
        <v>1</v>
      </c>
      <c r="H94" s="6" t="n">
        <f aca="false">IF(ISNUMBER(SEARCH(","&amp;H$1&amp;",",","&amp;$D94&amp;",")),1,0)</f>
        <v>0</v>
      </c>
      <c r="I94" s="6" t="n">
        <f aca="false">IF(ISNUMBER(SEARCH(","&amp;I$1&amp;",",","&amp;$D94&amp;",")),1,0)</f>
        <v>0</v>
      </c>
      <c r="J94" s="6" t="n">
        <f aca="false">IF(ISNUMBER(SEARCH(","&amp;J$1&amp;",",","&amp;$D94&amp;",")),1,0)</f>
        <v>0</v>
      </c>
      <c r="K94" s="6" t="n">
        <f aca="false">IF(ISNUMBER(SEARCH(","&amp;K$1&amp;",",","&amp;$D94&amp;",")),1,0)</f>
        <v>0</v>
      </c>
      <c r="L94" s="6" t="n">
        <f aca="false">IF(ISNUMBER(SEARCH(","&amp;L$1&amp;",",","&amp;$D94&amp;",")),1,0)</f>
        <v>0</v>
      </c>
      <c r="M94" s="6" t="n">
        <f aca="false">IF(ISNUMBER(SEARCH(","&amp;M$1&amp;",",","&amp;$D94&amp;",")),1,0)</f>
        <v>1</v>
      </c>
      <c r="N94" s="6" t="n">
        <f aca="false">IF(ISNUMBER(SEARCH(","&amp;N$1&amp;",",","&amp;$D94&amp;",")),1,0)</f>
        <v>0</v>
      </c>
    </row>
    <row r="95" customFormat="false" ht="23.85" hidden="false" customHeight="false" outlineLevel="0" collapsed="false">
      <c r="A95" s="2" t="s">
        <v>285</v>
      </c>
      <c r="B95" s="2" t="s">
        <v>298</v>
      </c>
      <c r="C95" s="3" t="s">
        <v>299</v>
      </c>
      <c r="D95" s="4" t="s">
        <v>32</v>
      </c>
      <c r="E95" s="5" t="s">
        <v>300</v>
      </c>
      <c r="F95" s="6" t="n">
        <f aca="false">IF(ISNUMBER(SEARCH(","&amp;F$1&amp;",",","&amp;$D95&amp;",")),1,0)</f>
        <v>0</v>
      </c>
      <c r="G95" s="6" t="n">
        <f aca="false">IF(ISNUMBER(SEARCH(","&amp;G$1&amp;",",","&amp;$D95&amp;",")),1,0)</f>
        <v>1</v>
      </c>
      <c r="H95" s="6" t="n">
        <f aca="false">IF(ISNUMBER(SEARCH(","&amp;H$1&amp;",",","&amp;$D95&amp;",")),1,0)</f>
        <v>0</v>
      </c>
      <c r="I95" s="6" t="n">
        <f aca="false">IF(ISNUMBER(SEARCH(","&amp;I$1&amp;",",","&amp;$D95&amp;",")),1,0)</f>
        <v>0</v>
      </c>
      <c r="J95" s="6" t="n">
        <f aca="false">IF(ISNUMBER(SEARCH(","&amp;J$1&amp;",",","&amp;$D95&amp;",")),1,0)</f>
        <v>0</v>
      </c>
      <c r="K95" s="6" t="n">
        <f aca="false">IF(ISNUMBER(SEARCH(","&amp;K$1&amp;",",","&amp;$D95&amp;",")),1,0)</f>
        <v>0</v>
      </c>
      <c r="L95" s="6" t="n">
        <f aca="false">IF(ISNUMBER(SEARCH(","&amp;L$1&amp;",",","&amp;$D95&amp;",")),1,0)</f>
        <v>0</v>
      </c>
      <c r="M95" s="6" t="n">
        <f aca="false">IF(ISNUMBER(SEARCH(","&amp;M$1&amp;",",","&amp;$D95&amp;",")),1,0)</f>
        <v>1</v>
      </c>
      <c r="N95" s="6" t="n">
        <f aca="false">IF(ISNUMBER(SEARCH(","&amp;N$1&amp;",",","&amp;$D95&amp;",")),1,0)</f>
        <v>0</v>
      </c>
    </row>
    <row r="96" customFormat="false" ht="23.85" hidden="false" customHeight="false" outlineLevel="0" collapsed="false">
      <c r="A96" s="2" t="s">
        <v>285</v>
      </c>
      <c r="B96" s="2" t="s">
        <v>301</v>
      </c>
      <c r="C96" s="3" t="s">
        <v>302</v>
      </c>
      <c r="D96" s="4" t="s">
        <v>32</v>
      </c>
      <c r="E96" s="5" t="s">
        <v>303</v>
      </c>
      <c r="F96" s="6" t="n">
        <f aca="false">IF(ISNUMBER(SEARCH(","&amp;F$1&amp;",",","&amp;$D96&amp;",")),1,0)</f>
        <v>0</v>
      </c>
      <c r="G96" s="6" t="n">
        <f aca="false">IF(ISNUMBER(SEARCH(","&amp;G$1&amp;",",","&amp;$D96&amp;",")),1,0)</f>
        <v>1</v>
      </c>
      <c r="H96" s="6" t="n">
        <f aca="false">IF(ISNUMBER(SEARCH(","&amp;H$1&amp;",",","&amp;$D96&amp;",")),1,0)</f>
        <v>0</v>
      </c>
      <c r="I96" s="6" t="n">
        <f aca="false">IF(ISNUMBER(SEARCH(","&amp;I$1&amp;",",","&amp;$D96&amp;",")),1,0)</f>
        <v>0</v>
      </c>
      <c r="J96" s="6" t="n">
        <f aca="false">IF(ISNUMBER(SEARCH(","&amp;J$1&amp;",",","&amp;$D96&amp;",")),1,0)</f>
        <v>0</v>
      </c>
      <c r="K96" s="6" t="n">
        <f aca="false">IF(ISNUMBER(SEARCH(","&amp;K$1&amp;",",","&amp;$D96&amp;",")),1,0)</f>
        <v>0</v>
      </c>
      <c r="L96" s="6" t="n">
        <f aca="false">IF(ISNUMBER(SEARCH(","&amp;L$1&amp;",",","&amp;$D96&amp;",")),1,0)</f>
        <v>0</v>
      </c>
      <c r="M96" s="6" t="n">
        <f aca="false">IF(ISNUMBER(SEARCH(","&amp;M$1&amp;",",","&amp;$D96&amp;",")),1,0)</f>
        <v>1</v>
      </c>
      <c r="N96" s="6" t="n">
        <f aca="false">IF(ISNUMBER(SEARCH(","&amp;N$1&amp;",",","&amp;$D96&amp;",")),1,0)</f>
        <v>0</v>
      </c>
    </row>
    <row r="97" customFormat="false" ht="23.85" hidden="false" customHeight="false" outlineLevel="0" collapsed="false">
      <c r="A97" s="2" t="s">
        <v>285</v>
      </c>
      <c r="B97" s="2" t="s">
        <v>304</v>
      </c>
      <c r="C97" s="3" t="s">
        <v>305</v>
      </c>
      <c r="D97" s="4" t="s">
        <v>5</v>
      </c>
      <c r="E97" s="5" t="s">
        <v>306</v>
      </c>
      <c r="F97" s="6" t="n">
        <f aca="false">IF(ISNUMBER(SEARCH(","&amp;F$1&amp;",",","&amp;$D97&amp;",")),1,0)</f>
        <v>1</v>
      </c>
      <c r="G97" s="6" t="n">
        <f aca="false">IF(ISNUMBER(SEARCH(","&amp;G$1&amp;",",","&amp;$D97&amp;",")),1,0)</f>
        <v>0</v>
      </c>
      <c r="H97" s="6" t="n">
        <f aca="false">IF(ISNUMBER(SEARCH(","&amp;H$1&amp;",",","&amp;$D97&amp;",")),1,0)</f>
        <v>0</v>
      </c>
      <c r="I97" s="6" t="n">
        <f aca="false">IF(ISNUMBER(SEARCH(","&amp;I$1&amp;",",","&amp;$D97&amp;",")),1,0)</f>
        <v>0</v>
      </c>
      <c r="J97" s="6" t="n">
        <f aca="false">IF(ISNUMBER(SEARCH(","&amp;J$1&amp;",",","&amp;$D97&amp;",")),1,0)</f>
        <v>0</v>
      </c>
      <c r="K97" s="6" t="n">
        <f aca="false">IF(ISNUMBER(SEARCH(","&amp;K$1&amp;",",","&amp;$D97&amp;",")),1,0)</f>
        <v>0</v>
      </c>
      <c r="L97" s="6" t="n">
        <f aca="false">IF(ISNUMBER(SEARCH(","&amp;L$1&amp;",",","&amp;$D97&amp;",")),1,0)</f>
        <v>0</v>
      </c>
      <c r="M97" s="6" t="n">
        <f aca="false">IF(ISNUMBER(SEARCH(","&amp;M$1&amp;",",","&amp;$D97&amp;",")),1,0)</f>
        <v>0</v>
      </c>
      <c r="N97" s="6" t="n">
        <f aca="false">IF(ISNUMBER(SEARCH(","&amp;N$1&amp;",",","&amp;$D97&amp;",")),1,0)</f>
        <v>0</v>
      </c>
    </row>
    <row r="98" customFormat="false" ht="23.85" hidden="false" customHeight="false" outlineLevel="0" collapsed="false">
      <c r="A98" s="2" t="s">
        <v>285</v>
      </c>
      <c r="B98" s="2" t="s">
        <v>307</v>
      </c>
      <c r="C98" s="3" t="s">
        <v>308</v>
      </c>
      <c r="D98" s="4" t="s">
        <v>309</v>
      </c>
      <c r="E98" s="5" t="s">
        <v>310</v>
      </c>
      <c r="F98" s="6" t="n">
        <f aca="false">IF(ISNUMBER(SEARCH(","&amp;F$1&amp;",",","&amp;$D98&amp;",")),1,0)</f>
        <v>1</v>
      </c>
      <c r="G98" s="6" t="n">
        <f aca="false">IF(ISNUMBER(SEARCH(","&amp;G$1&amp;",",","&amp;$D98&amp;",")),1,0)</f>
        <v>0</v>
      </c>
      <c r="H98" s="6" t="n">
        <f aca="false">IF(ISNUMBER(SEARCH(","&amp;H$1&amp;",",","&amp;$D98&amp;",")),1,0)</f>
        <v>0</v>
      </c>
      <c r="I98" s="6" t="n">
        <f aca="false">IF(ISNUMBER(SEARCH(","&amp;I$1&amp;",",","&amp;$D98&amp;",")),1,0)</f>
        <v>0</v>
      </c>
      <c r="J98" s="6" t="n">
        <f aca="false">IF(ISNUMBER(SEARCH(","&amp;J$1&amp;",",","&amp;$D98&amp;",")),1,0)</f>
        <v>0</v>
      </c>
      <c r="K98" s="6" t="n">
        <f aca="false">IF(ISNUMBER(SEARCH(","&amp;K$1&amp;",",","&amp;$D98&amp;",")),1,0)</f>
        <v>0</v>
      </c>
      <c r="L98" s="6" t="n">
        <f aca="false">IF(ISNUMBER(SEARCH(","&amp;L$1&amp;",",","&amp;$D98&amp;",")),1,0)</f>
        <v>0</v>
      </c>
      <c r="M98" s="6" t="n">
        <f aca="false">IF(ISNUMBER(SEARCH(","&amp;M$1&amp;",",","&amp;$D98&amp;",")),1,0)</f>
        <v>1</v>
      </c>
      <c r="N98" s="6" t="n">
        <f aca="false">IF(ISNUMBER(SEARCH(","&amp;N$1&amp;",",","&amp;$D98&amp;",")),1,0)</f>
        <v>0</v>
      </c>
    </row>
    <row r="99" customFormat="false" ht="23.85" hidden="false" customHeight="false" outlineLevel="0" collapsed="false">
      <c r="A99" s="2" t="s">
        <v>285</v>
      </c>
      <c r="B99" s="2" t="s">
        <v>311</v>
      </c>
      <c r="C99" s="3" t="s">
        <v>312</v>
      </c>
      <c r="D99" s="4" t="s">
        <v>309</v>
      </c>
      <c r="E99" s="5" t="s">
        <v>313</v>
      </c>
      <c r="F99" s="6" t="n">
        <f aca="false">IF(ISNUMBER(SEARCH(","&amp;F$1&amp;",",","&amp;$D99&amp;",")),1,0)</f>
        <v>1</v>
      </c>
      <c r="G99" s="6" t="n">
        <f aca="false">IF(ISNUMBER(SEARCH(","&amp;G$1&amp;",",","&amp;$D99&amp;",")),1,0)</f>
        <v>0</v>
      </c>
      <c r="H99" s="6" t="n">
        <f aca="false">IF(ISNUMBER(SEARCH(","&amp;H$1&amp;",",","&amp;$D99&amp;",")),1,0)</f>
        <v>0</v>
      </c>
      <c r="I99" s="6" t="n">
        <f aca="false">IF(ISNUMBER(SEARCH(","&amp;I$1&amp;",",","&amp;$D99&amp;",")),1,0)</f>
        <v>0</v>
      </c>
      <c r="J99" s="6" t="n">
        <f aca="false">IF(ISNUMBER(SEARCH(","&amp;J$1&amp;",",","&amp;$D99&amp;",")),1,0)</f>
        <v>0</v>
      </c>
      <c r="K99" s="6" t="n">
        <f aca="false">IF(ISNUMBER(SEARCH(","&amp;K$1&amp;",",","&amp;$D99&amp;",")),1,0)</f>
        <v>0</v>
      </c>
      <c r="L99" s="6" t="n">
        <f aca="false">IF(ISNUMBER(SEARCH(","&amp;L$1&amp;",",","&amp;$D99&amp;",")),1,0)</f>
        <v>0</v>
      </c>
      <c r="M99" s="6" t="n">
        <f aca="false">IF(ISNUMBER(SEARCH(","&amp;M$1&amp;",",","&amp;$D99&amp;",")),1,0)</f>
        <v>1</v>
      </c>
      <c r="N99" s="6" t="n">
        <f aca="false">IF(ISNUMBER(SEARCH(","&amp;N$1&amp;",",","&amp;$D99&amp;",")),1,0)</f>
        <v>0</v>
      </c>
    </row>
    <row r="100" customFormat="false" ht="23.85" hidden="false" customHeight="false" outlineLevel="0" collapsed="false">
      <c r="A100" s="2" t="s">
        <v>285</v>
      </c>
      <c r="B100" s="2" t="s">
        <v>314</v>
      </c>
      <c r="C100" s="3" t="s">
        <v>315</v>
      </c>
      <c r="D100" s="4" t="s">
        <v>309</v>
      </c>
      <c r="E100" s="5" t="s">
        <v>316</v>
      </c>
      <c r="F100" s="6" t="n">
        <f aca="false">IF(ISNUMBER(SEARCH(","&amp;F$1&amp;",",","&amp;$D100&amp;",")),1,0)</f>
        <v>1</v>
      </c>
      <c r="G100" s="6" t="n">
        <f aca="false">IF(ISNUMBER(SEARCH(","&amp;G$1&amp;",",","&amp;$D100&amp;",")),1,0)</f>
        <v>0</v>
      </c>
      <c r="H100" s="6" t="n">
        <f aca="false">IF(ISNUMBER(SEARCH(","&amp;H$1&amp;",",","&amp;$D100&amp;",")),1,0)</f>
        <v>0</v>
      </c>
      <c r="I100" s="6" t="n">
        <f aca="false">IF(ISNUMBER(SEARCH(","&amp;I$1&amp;",",","&amp;$D100&amp;",")),1,0)</f>
        <v>0</v>
      </c>
      <c r="J100" s="6" t="n">
        <f aca="false">IF(ISNUMBER(SEARCH(","&amp;J$1&amp;",",","&amp;$D100&amp;",")),1,0)</f>
        <v>0</v>
      </c>
      <c r="K100" s="6" t="n">
        <f aca="false">IF(ISNUMBER(SEARCH(","&amp;K$1&amp;",",","&amp;$D100&amp;",")),1,0)</f>
        <v>0</v>
      </c>
      <c r="L100" s="6" t="n">
        <f aca="false">IF(ISNUMBER(SEARCH(","&amp;L$1&amp;",",","&amp;$D100&amp;",")),1,0)</f>
        <v>0</v>
      </c>
      <c r="M100" s="6" t="n">
        <f aca="false">IF(ISNUMBER(SEARCH(","&amp;M$1&amp;",",","&amp;$D100&amp;",")),1,0)</f>
        <v>1</v>
      </c>
      <c r="N100" s="6" t="n">
        <f aca="false">IF(ISNUMBER(SEARCH(","&amp;N$1&amp;",",","&amp;$D100&amp;",")),1,0)</f>
        <v>0</v>
      </c>
    </row>
    <row r="101" customFormat="false" ht="23.85" hidden="false" customHeight="false" outlineLevel="0" collapsed="false">
      <c r="A101" s="2" t="s">
        <v>285</v>
      </c>
      <c r="B101" s="2" t="s">
        <v>317</v>
      </c>
      <c r="C101" s="3" t="s">
        <v>318</v>
      </c>
      <c r="D101" s="4" t="s">
        <v>309</v>
      </c>
      <c r="E101" s="5" t="s">
        <v>319</v>
      </c>
      <c r="F101" s="6" t="n">
        <f aca="false">IF(ISNUMBER(SEARCH(","&amp;F$1&amp;",",","&amp;$D101&amp;",")),1,0)</f>
        <v>1</v>
      </c>
      <c r="G101" s="6" t="n">
        <f aca="false">IF(ISNUMBER(SEARCH(","&amp;G$1&amp;",",","&amp;$D101&amp;",")),1,0)</f>
        <v>0</v>
      </c>
      <c r="H101" s="6" t="n">
        <f aca="false">IF(ISNUMBER(SEARCH(","&amp;H$1&amp;",",","&amp;$D101&amp;",")),1,0)</f>
        <v>0</v>
      </c>
      <c r="I101" s="6" t="n">
        <f aca="false">IF(ISNUMBER(SEARCH(","&amp;I$1&amp;",",","&amp;$D101&amp;",")),1,0)</f>
        <v>0</v>
      </c>
      <c r="J101" s="6" t="n">
        <f aca="false">IF(ISNUMBER(SEARCH(","&amp;J$1&amp;",",","&amp;$D101&amp;",")),1,0)</f>
        <v>0</v>
      </c>
      <c r="K101" s="6" t="n">
        <f aca="false">IF(ISNUMBER(SEARCH(","&amp;K$1&amp;",",","&amp;$D101&amp;",")),1,0)</f>
        <v>0</v>
      </c>
      <c r="L101" s="6" t="n">
        <f aca="false">IF(ISNUMBER(SEARCH(","&amp;L$1&amp;",",","&amp;$D101&amp;",")),1,0)</f>
        <v>0</v>
      </c>
      <c r="M101" s="6" t="n">
        <f aca="false">IF(ISNUMBER(SEARCH(","&amp;M$1&amp;",",","&amp;$D101&amp;",")),1,0)</f>
        <v>1</v>
      </c>
      <c r="N101" s="6" t="n">
        <f aca="false">IF(ISNUMBER(SEARCH(","&amp;N$1&amp;",",","&amp;$D101&amp;",")),1,0)</f>
        <v>0</v>
      </c>
    </row>
    <row r="102" customFormat="false" ht="23.85" hidden="false" customHeight="false" outlineLevel="0" collapsed="false">
      <c r="A102" s="2" t="s">
        <v>285</v>
      </c>
      <c r="B102" s="2" t="s">
        <v>320</v>
      </c>
      <c r="C102" s="3" t="s">
        <v>321</v>
      </c>
      <c r="D102" s="4" t="s">
        <v>309</v>
      </c>
      <c r="E102" s="5" t="s">
        <v>322</v>
      </c>
      <c r="F102" s="6" t="n">
        <f aca="false">IF(ISNUMBER(SEARCH(","&amp;F$1&amp;",",","&amp;$D102&amp;",")),1,0)</f>
        <v>1</v>
      </c>
      <c r="G102" s="6" t="n">
        <f aca="false">IF(ISNUMBER(SEARCH(","&amp;G$1&amp;",",","&amp;$D102&amp;",")),1,0)</f>
        <v>0</v>
      </c>
      <c r="H102" s="6" t="n">
        <f aca="false">IF(ISNUMBER(SEARCH(","&amp;H$1&amp;",",","&amp;$D102&amp;",")),1,0)</f>
        <v>0</v>
      </c>
      <c r="I102" s="6" t="n">
        <f aca="false">IF(ISNUMBER(SEARCH(","&amp;I$1&amp;",",","&amp;$D102&amp;",")),1,0)</f>
        <v>0</v>
      </c>
      <c r="J102" s="6" t="n">
        <f aca="false">IF(ISNUMBER(SEARCH(","&amp;J$1&amp;",",","&amp;$D102&amp;",")),1,0)</f>
        <v>0</v>
      </c>
      <c r="K102" s="6" t="n">
        <f aca="false">IF(ISNUMBER(SEARCH(","&amp;K$1&amp;",",","&amp;$D102&amp;",")),1,0)</f>
        <v>0</v>
      </c>
      <c r="L102" s="6" t="n">
        <f aca="false">IF(ISNUMBER(SEARCH(","&amp;L$1&amp;",",","&amp;$D102&amp;",")),1,0)</f>
        <v>0</v>
      </c>
      <c r="M102" s="6" t="n">
        <f aca="false">IF(ISNUMBER(SEARCH(","&amp;M$1&amp;",",","&amp;$D102&amp;",")),1,0)</f>
        <v>1</v>
      </c>
      <c r="N102" s="6" t="n">
        <f aca="false">IF(ISNUMBER(SEARCH(","&amp;N$1&amp;",",","&amp;$D102&amp;",")),1,0)</f>
        <v>0</v>
      </c>
    </row>
    <row r="103" customFormat="false" ht="23.85" hidden="false" customHeight="false" outlineLevel="0" collapsed="false">
      <c r="A103" s="2" t="s">
        <v>285</v>
      </c>
      <c r="B103" s="2" t="s">
        <v>323</v>
      </c>
      <c r="C103" s="3" t="s">
        <v>324</v>
      </c>
      <c r="D103" s="4" t="s">
        <v>309</v>
      </c>
      <c r="E103" s="5" t="s">
        <v>325</v>
      </c>
      <c r="F103" s="6" t="n">
        <f aca="false">IF(ISNUMBER(SEARCH(","&amp;F$1&amp;",",","&amp;$D103&amp;",")),1,0)</f>
        <v>1</v>
      </c>
      <c r="G103" s="6" t="n">
        <f aca="false">IF(ISNUMBER(SEARCH(","&amp;G$1&amp;",",","&amp;$D103&amp;",")),1,0)</f>
        <v>0</v>
      </c>
      <c r="H103" s="6" t="n">
        <f aca="false">IF(ISNUMBER(SEARCH(","&amp;H$1&amp;",",","&amp;$D103&amp;",")),1,0)</f>
        <v>0</v>
      </c>
      <c r="I103" s="6" t="n">
        <f aca="false">IF(ISNUMBER(SEARCH(","&amp;I$1&amp;",",","&amp;$D103&amp;",")),1,0)</f>
        <v>0</v>
      </c>
      <c r="J103" s="6" t="n">
        <f aca="false">IF(ISNUMBER(SEARCH(","&amp;J$1&amp;",",","&amp;$D103&amp;",")),1,0)</f>
        <v>0</v>
      </c>
      <c r="K103" s="6" t="n">
        <f aca="false">IF(ISNUMBER(SEARCH(","&amp;K$1&amp;",",","&amp;$D103&amp;",")),1,0)</f>
        <v>0</v>
      </c>
      <c r="L103" s="6" t="n">
        <f aca="false">IF(ISNUMBER(SEARCH(","&amp;L$1&amp;",",","&amp;$D103&amp;",")),1,0)</f>
        <v>0</v>
      </c>
      <c r="M103" s="6" t="n">
        <f aca="false">IF(ISNUMBER(SEARCH(","&amp;M$1&amp;",",","&amp;$D103&amp;",")),1,0)</f>
        <v>1</v>
      </c>
      <c r="N103" s="6" t="n">
        <f aca="false">IF(ISNUMBER(SEARCH(","&amp;N$1&amp;",",","&amp;$D103&amp;",")),1,0)</f>
        <v>0</v>
      </c>
    </row>
    <row r="104" customFormat="false" ht="23.85" hidden="false" customHeight="false" outlineLevel="0" collapsed="false">
      <c r="A104" s="2" t="s">
        <v>285</v>
      </c>
      <c r="B104" s="2" t="s">
        <v>326</v>
      </c>
      <c r="C104" s="3" t="s">
        <v>327</v>
      </c>
      <c r="D104" s="4" t="s">
        <v>309</v>
      </c>
      <c r="E104" s="5" t="s">
        <v>328</v>
      </c>
      <c r="F104" s="6" t="n">
        <f aca="false">IF(ISNUMBER(SEARCH(","&amp;F$1&amp;",",","&amp;$D104&amp;",")),1,0)</f>
        <v>1</v>
      </c>
      <c r="G104" s="6" t="n">
        <f aca="false">IF(ISNUMBER(SEARCH(","&amp;G$1&amp;",",","&amp;$D104&amp;",")),1,0)</f>
        <v>0</v>
      </c>
      <c r="H104" s="6" t="n">
        <f aca="false">IF(ISNUMBER(SEARCH(","&amp;H$1&amp;",",","&amp;$D104&amp;",")),1,0)</f>
        <v>0</v>
      </c>
      <c r="I104" s="6" t="n">
        <f aca="false">IF(ISNUMBER(SEARCH(","&amp;I$1&amp;",",","&amp;$D104&amp;",")),1,0)</f>
        <v>0</v>
      </c>
      <c r="J104" s="6" t="n">
        <f aca="false">IF(ISNUMBER(SEARCH(","&amp;J$1&amp;",",","&amp;$D104&amp;",")),1,0)</f>
        <v>0</v>
      </c>
      <c r="K104" s="6" t="n">
        <f aca="false">IF(ISNUMBER(SEARCH(","&amp;K$1&amp;",",","&amp;$D104&amp;",")),1,0)</f>
        <v>0</v>
      </c>
      <c r="L104" s="6" t="n">
        <f aca="false">IF(ISNUMBER(SEARCH(","&amp;L$1&amp;",",","&amp;$D104&amp;",")),1,0)</f>
        <v>0</v>
      </c>
      <c r="M104" s="6" t="n">
        <f aca="false">IF(ISNUMBER(SEARCH(","&amp;M$1&amp;",",","&amp;$D104&amp;",")),1,0)</f>
        <v>1</v>
      </c>
      <c r="N104" s="6" t="n">
        <f aca="false">IF(ISNUMBER(SEARCH(","&amp;N$1&amp;",",","&amp;$D104&amp;",")),1,0)</f>
        <v>0</v>
      </c>
    </row>
    <row r="105" customFormat="false" ht="23.85" hidden="false" customHeight="false" outlineLevel="0" collapsed="false">
      <c r="A105" s="2" t="s">
        <v>285</v>
      </c>
      <c r="B105" s="2" t="s">
        <v>329</v>
      </c>
      <c r="C105" s="3" t="s">
        <v>330</v>
      </c>
      <c r="D105" s="4" t="s">
        <v>331</v>
      </c>
      <c r="E105" s="5" t="s">
        <v>332</v>
      </c>
      <c r="F105" s="6" t="n">
        <f aca="false">IF(ISNUMBER(SEARCH(","&amp;F$1&amp;",",","&amp;$D105&amp;",")),1,0)</f>
        <v>0</v>
      </c>
      <c r="G105" s="6" t="n">
        <f aca="false">IF(ISNUMBER(SEARCH(","&amp;G$1&amp;",",","&amp;$D105&amp;",")),1,0)</f>
        <v>0</v>
      </c>
      <c r="H105" s="6" t="n">
        <f aca="false">IF(ISNUMBER(SEARCH(","&amp;H$1&amp;",",","&amp;$D105&amp;",")),1,0)</f>
        <v>0</v>
      </c>
      <c r="I105" s="6" t="n">
        <f aca="false">IF(ISNUMBER(SEARCH(","&amp;I$1&amp;",",","&amp;$D105&amp;",")),1,0)</f>
        <v>0</v>
      </c>
      <c r="J105" s="6" t="n">
        <f aca="false">IF(ISNUMBER(SEARCH(","&amp;J$1&amp;",",","&amp;$D105&amp;",")),1,0)</f>
        <v>0</v>
      </c>
      <c r="K105" s="6" t="n">
        <f aca="false">IF(ISNUMBER(SEARCH(","&amp;K$1&amp;",",","&amp;$D105&amp;",")),1,0)</f>
        <v>0</v>
      </c>
      <c r="L105" s="6" t="n">
        <f aca="false">IF(ISNUMBER(SEARCH(","&amp;L$1&amp;",",","&amp;$D105&amp;",")),1,0)</f>
        <v>0</v>
      </c>
      <c r="M105" s="6" t="n">
        <f aca="false">IF(ISNUMBER(SEARCH(","&amp;M$1&amp;",",","&amp;$D105&amp;",")),1,0)</f>
        <v>1</v>
      </c>
      <c r="N105" s="6" t="n">
        <f aca="false">IF(ISNUMBER(SEARCH(","&amp;N$1&amp;",",","&amp;$D105&amp;",")),1,0)</f>
        <v>1</v>
      </c>
    </row>
    <row r="106" customFormat="false" ht="23.85" hidden="false" customHeight="false" outlineLevel="0" collapsed="false">
      <c r="A106" s="2" t="s">
        <v>285</v>
      </c>
      <c r="B106" s="2" t="s">
        <v>333</v>
      </c>
      <c r="C106" s="3" t="s">
        <v>334</v>
      </c>
      <c r="D106" s="4" t="s">
        <v>32</v>
      </c>
      <c r="E106" s="5" t="s">
        <v>335</v>
      </c>
      <c r="F106" s="6" t="n">
        <f aca="false">IF(ISNUMBER(SEARCH(","&amp;F$1&amp;",",","&amp;$D106&amp;",")),1,0)</f>
        <v>0</v>
      </c>
      <c r="G106" s="6" t="n">
        <f aca="false">IF(ISNUMBER(SEARCH(","&amp;G$1&amp;",",","&amp;$D106&amp;",")),1,0)</f>
        <v>1</v>
      </c>
      <c r="H106" s="6" t="n">
        <f aca="false">IF(ISNUMBER(SEARCH(","&amp;H$1&amp;",",","&amp;$D106&amp;",")),1,0)</f>
        <v>0</v>
      </c>
      <c r="I106" s="6" t="n">
        <f aca="false">IF(ISNUMBER(SEARCH(","&amp;I$1&amp;",",","&amp;$D106&amp;",")),1,0)</f>
        <v>0</v>
      </c>
      <c r="J106" s="6" t="n">
        <f aca="false">IF(ISNUMBER(SEARCH(","&amp;J$1&amp;",",","&amp;$D106&amp;",")),1,0)</f>
        <v>0</v>
      </c>
      <c r="K106" s="6" t="n">
        <f aca="false">IF(ISNUMBER(SEARCH(","&amp;K$1&amp;",",","&amp;$D106&amp;",")),1,0)</f>
        <v>0</v>
      </c>
      <c r="L106" s="6" t="n">
        <f aca="false">IF(ISNUMBER(SEARCH(","&amp;L$1&amp;",",","&amp;$D106&amp;",")),1,0)</f>
        <v>0</v>
      </c>
      <c r="M106" s="6" t="n">
        <f aca="false">IF(ISNUMBER(SEARCH(","&amp;M$1&amp;",",","&amp;$D106&amp;",")),1,0)</f>
        <v>1</v>
      </c>
      <c r="N106" s="6" t="n">
        <f aca="false">IF(ISNUMBER(SEARCH(","&amp;N$1&amp;",",","&amp;$D106&amp;",")),1,0)</f>
        <v>0</v>
      </c>
    </row>
    <row r="107" customFormat="false" ht="23.85" hidden="false" customHeight="false" outlineLevel="0" collapsed="false">
      <c r="A107" s="2" t="s">
        <v>285</v>
      </c>
      <c r="B107" s="2" t="s">
        <v>336</v>
      </c>
      <c r="C107" s="3" t="s">
        <v>337</v>
      </c>
      <c r="D107" s="4" t="s">
        <v>32</v>
      </c>
      <c r="E107" s="5" t="s">
        <v>338</v>
      </c>
      <c r="F107" s="6" t="n">
        <f aca="false">IF(ISNUMBER(SEARCH(","&amp;F$1&amp;",",","&amp;$D107&amp;",")),1,0)</f>
        <v>0</v>
      </c>
      <c r="G107" s="6" t="n">
        <f aca="false">IF(ISNUMBER(SEARCH(","&amp;G$1&amp;",",","&amp;$D107&amp;",")),1,0)</f>
        <v>1</v>
      </c>
      <c r="H107" s="6" t="n">
        <f aca="false">IF(ISNUMBER(SEARCH(","&amp;H$1&amp;",",","&amp;$D107&amp;",")),1,0)</f>
        <v>0</v>
      </c>
      <c r="I107" s="6" t="n">
        <f aca="false">IF(ISNUMBER(SEARCH(","&amp;I$1&amp;",",","&amp;$D107&amp;",")),1,0)</f>
        <v>0</v>
      </c>
      <c r="J107" s="6" t="n">
        <f aca="false">IF(ISNUMBER(SEARCH(","&amp;J$1&amp;",",","&amp;$D107&amp;",")),1,0)</f>
        <v>0</v>
      </c>
      <c r="K107" s="6" t="n">
        <f aca="false">IF(ISNUMBER(SEARCH(","&amp;K$1&amp;",",","&amp;$D107&amp;",")),1,0)</f>
        <v>0</v>
      </c>
      <c r="L107" s="6" t="n">
        <f aca="false">IF(ISNUMBER(SEARCH(","&amp;L$1&amp;",",","&amp;$D107&amp;",")),1,0)</f>
        <v>0</v>
      </c>
      <c r="M107" s="6" t="n">
        <f aca="false">IF(ISNUMBER(SEARCH(","&amp;M$1&amp;",",","&amp;$D107&amp;",")),1,0)</f>
        <v>1</v>
      </c>
      <c r="N107" s="6" t="n">
        <f aca="false">IF(ISNUMBER(SEARCH(","&amp;N$1&amp;",",","&amp;$D107&amp;",")),1,0)</f>
        <v>0</v>
      </c>
    </row>
    <row r="108" customFormat="false" ht="23.85" hidden="false" customHeight="false" outlineLevel="0" collapsed="false">
      <c r="A108" s="2" t="s">
        <v>285</v>
      </c>
      <c r="B108" s="2" t="s">
        <v>339</v>
      </c>
      <c r="C108" s="3" t="s">
        <v>340</v>
      </c>
      <c r="D108" s="4" t="s">
        <v>309</v>
      </c>
      <c r="E108" s="5" t="s">
        <v>341</v>
      </c>
      <c r="F108" s="6" t="n">
        <f aca="false">IF(ISNUMBER(SEARCH(","&amp;F$1&amp;",",","&amp;$D108&amp;",")),1,0)</f>
        <v>1</v>
      </c>
      <c r="G108" s="6" t="n">
        <f aca="false">IF(ISNUMBER(SEARCH(","&amp;G$1&amp;",",","&amp;$D108&amp;",")),1,0)</f>
        <v>0</v>
      </c>
      <c r="H108" s="6" t="n">
        <f aca="false">IF(ISNUMBER(SEARCH(","&amp;H$1&amp;",",","&amp;$D108&amp;",")),1,0)</f>
        <v>0</v>
      </c>
      <c r="I108" s="6" t="n">
        <f aca="false">IF(ISNUMBER(SEARCH(","&amp;I$1&amp;",",","&amp;$D108&amp;",")),1,0)</f>
        <v>0</v>
      </c>
      <c r="J108" s="6" t="n">
        <f aca="false">IF(ISNUMBER(SEARCH(","&amp;J$1&amp;",",","&amp;$D108&amp;",")),1,0)</f>
        <v>0</v>
      </c>
      <c r="K108" s="6" t="n">
        <f aca="false">IF(ISNUMBER(SEARCH(","&amp;K$1&amp;",",","&amp;$D108&amp;",")),1,0)</f>
        <v>0</v>
      </c>
      <c r="L108" s="6" t="n">
        <f aca="false">IF(ISNUMBER(SEARCH(","&amp;L$1&amp;",",","&amp;$D108&amp;",")),1,0)</f>
        <v>0</v>
      </c>
      <c r="M108" s="6" t="n">
        <f aca="false">IF(ISNUMBER(SEARCH(","&amp;M$1&amp;",",","&amp;$D108&amp;",")),1,0)</f>
        <v>1</v>
      </c>
      <c r="N108" s="6" t="n">
        <f aca="false">IF(ISNUMBER(SEARCH(","&amp;N$1&amp;",",","&amp;$D108&amp;",")),1,0)</f>
        <v>0</v>
      </c>
    </row>
    <row r="109" customFormat="false" ht="15" hidden="false" customHeight="false" outlineLevel="0" collapsed="false">
      <c r="A109" s="2" t="s">
        <v>285</v>
      </c>
      <c r="B109" s="2" t="s">
        <v>342</v>
      </c>
      <c r="C109" s="3" t="s">
        <v>343</v>
      </c>
      <c r="D109" s="4" t="s">
        <v>5</v>
      </c>
      <c r="E109" s="5" t="s">
        <v>344</v>
      </c>
      <c r="F109" s="6" t="n">
        <f aca="false">IF(ISNUMBER(SEARCH(","&amp;F$1&amp;",",","&amp;$D109&amp;",")),1,0)</f>
        <v>1</v>
      </c>
      <c r="G109" s="6" t="n">
        <f aca="false">IF(ISNUMBER(SEARCH(","&amp;G$1&amp;",",","&amp;$D109&amp;",")),1,0)</f>
        <v>0</v>
      </c>
      <c r="H109" s="6" t="n">
        <f aca="false">IF(ISNUMBER(SEARCH(","&amp;H$1&amp;",",","&amp;$D109&amp;",")),1,0)</f>
        <v>0</v>
      </c>
      <c r="I109" s="6" t="n">
        <f aca="false">IF(ISNUMBER(SEARCH(","&amp;I$1&amp;",",","&amp;$D109&amp;",")),1,0)</f>
        <v>0</v>
      </c>
      <c r="J109" s="6" t="n">
        <f aca="false">IF(ISNUMBER(SEARCH(","&amp;J$1&amp;",",","&amp;$D109&amp;",")),1,0)</f>
        <v>0</v>
      </c>
      <c r="K109" s="6" t="n">
        <f aca="false">IF(ISNUMBER(SEARCH(","&amp;K$1&amp;",",","&amp;$D109&amp;",")),1,0)</f>
        <v>0</v>
      </c>
      <c r="L109" s="6" t="n">
        <f aca="false">IF(ISNUMBER(SEARCH(","&amp;L$1&amp;",",","&amp;$D109&amp;",")),1,0)</f>
        <v>0</v>
      </c>
      <c r="M109" s="6" t="n">
        <f aca="false">IF(ISNUMBER(SEARCH(","&amp;M$1&amp;",",","&amp;$D109&amp;",")),1,0)</f>
        <v>0</v>
      </c>
      <c r="N109" s="6" t="n">
        <f aca="false">IF(ISNUMBER(SEARCH(","&amp;N$1&amp;",",","&amp;$D109&amp;",")),1,0)</f>
        <v>0</v>
      </c>
    </row>
    <row r="110" customFormat="false" ht="23.85" hidden="false" customHeight="false" outlineLevel="0" collapsed="false">
      <c r="A110" s="2" t="s">
        <v>285</v>
      </c>
      <c r="B110" s="2" t="s">
        <v>345</v>
      </c>
      <c r="C110" s="3" t="s">
        <v>346</v>
      </c>
      <c r="D110" s="4" t="s">
        <v>32</v>
      </c>
      <c r="E110" s="5" t="s">
        <v>347</v>
      </c>
      <c r="F110" s="6" t="n">
        <f aca="false">IF(ISNUMBER(SEARCH(","&amp;F$1&amp;",",","&amp;$D110&amp;",")),1,0)</f>
        <v>0</v>
      </c>
      <c r="G110" s="6" t="n">
        <f aca="false">IF(ISNUMBER(SEARCH(","&amp;G$1&amp;",",","&amp;$D110&amp;",")),1,0)</f>
        <v>1</v>
      </c>
      <c r="H110" s="6" t="n">
        <f aca="false">IF(ISNUMBER(SEARCH(","&amp;H$1&amp;",",","&amp;$D110&amp;",")),1,0)</f>
        <v>0</v>
      </c>
      <c r="I110" s="6" t="n">
        <f aca="false">IF(ISNUMBER(SEARCH(","&amp;I$1&amp;",",","&amp;$D110&amp;",")),1,0)</f>
        <v>0</v>
      </c>
      <c r="J110" s="6" t="n">
        <f aca="false">IF(ISNUMBER(SEARCH(","&amp;J$1&amp;",",","&amp;$D110&amp;",")),1,0)</f>
        <v>0</v>
      </c>
      <c r="K110" s="6" t="n">
        <f aca="false">IF(ISNUMBER(SEARCH(","&amp;K$1&amp;",",","&amp;$D110&amp;",")),1,0)</f>
        <v>0</v>
      </c>
      <c r="L110" s="6" t="n">
        <f aca="false">IF(ISNUMBER(SEARCH(","&amp;L$1&amp;",",","&amp;$D110&amp;",")),1,0)</f>
        <v>0</v>
      </c>
      <c r="M110" s="6" t="n">
        <f aca="false">IF(ISNUMBER(SEARCH(","&amp;M$1&amp;",",","&amp;$D110&amp;",")),1,0)</f>
        <v>1</v>
      </c>
      <c r="N110" s="6" t="n">
        <f aca="false">IF(ISNUMBER(SEARCH(","&amp;N$1&amp;",",","&amp;$D110&amp;",")),1,0)</f>
        <v>0</v>
      </c>
    </row>
    <row r="111" customFormat="false" ht="23.85" hidden="false" customHeight="false" outlineLevel="0" collapsed="false">
      <c r="A111" s="2" t="s">
        <v>285</v>
      </c>
      <c r="B111" s="2" t="s">
        <v>348</v>
      </c>
      <c r="C111" s="3" t="s">
        <v>349</v>
      </c>
      <c r="D111" s="4" t="s">
        <v>331</v>
      </c>
      <c r="E111" s="5" t="s">
        <v>350</v>
      </c>
      <c r="F111" s="6" t="n">
        <f aca="false">IF(ISNUMBER(SEARCH(","&amp;F$1&amp;",",","&amp;$D111&amp;",")),1,0)</f>
        <v>0</v>
      </c>
      <c r="G111" s="6" t="n">
        <f aca="false">IF(ISNUMBER(SEARCH(","&amp;G$1&amp;",",","&amp;$D111&amp;",")),1,0)</f>
        <v>0</v>
      </c>
      <c r="H111" s="6" t="n">
        <f aca="false">IF(ISNUMBER(SEARCH(","&amp;H$1&amp;",",","&amp;$D111&amp;",")),1,0)</f>
        <v>0</v>
      </c>
      <c r="I111" s="6" t="n">
        <f aca="false">IF(ISNUMBER(SEARCH(","&amp;I$1&amp;",",","&amp;$D111&amp;",")),1,0)</f>
        <v>0</v>
      </c>
      <c r="J111" s="6" t="n">
        <f aca="false">IF(ISNUMBER(SEARCH(","&amp;J$1&amp;",",","&amp;$D111&amp;",")),1,0)</f>
        <v>0</v>
      </c>
      <c r="K111" s="6" t="n">
        <f aca="false">IF(ISNUMBER(SEARCH(","&amp;K$1&amp;",",","&amp;$D111&amp;",")),1,0)</f>
        <v>0</v>
      </c>
      <c r="L111" s="6" t="n">
        <f aca="false">IF(ISNUMBER(SEARCH(","&amp;L$1&amp;",",","&amp;$D111&amp;",")),1,0)</f>
        <v>0</v>
      </c>
      <c r="M111" s="6" t="n">
        <f aca="false">IF(ISNUMBER(SEARCH(","&amp;M$1&amp;",",","&amp;$D111&amp;",")),1,0)</f>
        <v>1</v>
      </c>
      <c r="N111" s="6" t="n">
        <f aca="false">IF(ISNUMBER(SEARCH(","&amp;N$1&amp;",",","&amp;$D111&amp;",")),1,0)</f>
        <v>1</v>
      </c>
    </row>
    <row r="112" customFormat="false" ht="23.85" hidden="false" customHeight="false" outlineLevel="0" collapsed="false">
      <c r="A112" s="2" t="s">
        <v>285</v>
      </c>
      <c r="B112" s="2" t="s">
        <v>351</v>
      </c>
      <c r="C112" s="3" t="s">
        <v>352</v>
      </c>
      <c r="D112" s="4" t="s">
        <v>12</v>
      </c>
      <c r="E112" s="5" t="s">
        <v>353</v>
      </c>
      <c r="F112" s="6" t="n">
        <f aca="false">IF(ISNUMBER(SEARCH(","&amp;F$1&amp;",",","&amp;$D112&amp;",")),1,0)</f>
        <v>0</v>
      </c>
      <c r="G112" s="6" t="n">
        <f aca="false">IF(ISNUMBER(SEARCH(","&amp;G$1&amp;",",","&amp;$D112&amp;",")),1,0)</f>
        <v>0</v>
      </c>
      <c r="H112" s="6" t="n">
        <f aca="false">IF(ISNUMBER(SEARCH(","&amp;H$1&amp;",",","&amp;$D112&amp;",")),1,0)</f>
        <v>0</v>
      </c>
      <c r="I112" s="6" t="n">
        <f aca="false">IF(ISNUMBER(SEARCH(","&amp;I$1&amp;",",","&amp;$D112&amp;",")),1,0)</f>
        <v>0</v>
      </c>
      <c r="J112" s="6" t="n">
        <f aca="false">IF(ISNUMBER(SEARCH(","&amp;J$1&amp;",",","&amp;$D112&amp;",")),1,0)</f>
        <v>0</v>
      </c>
      <c r="K112" s="6" t="n">
        <f aca="false">IF(ISNUMBER(SEARCH(","&amp;K$1&amp;",",","&amp;$D112&amp;",")),1,0)</f>
        <v>0</v>
      </c>
      <c r="L112" s="6" t="n">
        <f aca="false">IF(ISNUMBER(SEARCH(","&amp;L$1&amp;",",","&amp;$D112&amp;",")),1,0)</f>
        <v>0</v>
      </c>
      <c r="M112" s="6" t="n">
        <f aca="false">IF(ISNUMBER(SEARCH(","&amp;M$1&amp;",",","&amp;$D112&amp;",")),1,0)</f>
        <v>1</v>
      </c>
      <c r="N112" s="6" t="n">
        <f aca="false">IF(ISNUMBER(SEARCH(","&amp;N$1&amp;",",","&amp;$D112&amp;",")),1,0)</f>
        <v>0</v>
      </c>
    </row>
    <row r="113" customFormat="false" ht="23.85" hidden="false" customHeight="false" outlineLevel="0" collapsed="false">
      <c r="A113" s="2" t="s">
        <v>285</v>
      </c>
      <c r="B113" s="2" t="s">
        <v>354</v>
      </c>
      <c r="C113" s="3" t="s">
        <v>355</v>
      </c>
      <c r="D113" s="4" t="s">
        <v>12</v>
      </c>
      <c r="E113" s="5" t="s">
        <v>356</v>
      </c>
      <c r="F113" s="6" t="n">
        <f aca="false">IF(ISNUMBER(SEARCH(","&amp;F$1&amp;",",","&amp;$D113&amp;",")),1,0)</f>
        <v>0</v>
      </c>
      <c r="G113" s="6" t="n">
        <f aca="false">IF(ISNUMBER(SEARCH(","&amp;G$1&amp;",",","&amp;$D113&amp;",")),1,0)</f>
        <v>0</v>
      </c>
      <c r="H113" s="6" t="n">
        <f aca="false">IF(ISNUMBER(SEARCH(","&amp;H$1&amp;",",","&amp;$D113&amp;",")),1,0)</f>
        <v>0</v>
      </c>
      <c r="I113" s="6" t="n">
        <f aca="false">IF(ISNUMBER(SEARCH(","&amp;I$1&amp;",",","&amp;$D113&amp;",")),1,0)</f>
        <v>0</v>
      </c>
      <c r="J113" s="6" t="n">
        <f aca="false">IF(ISNUMBER(SEARCH(","&amp;J$1&amp;",",","&amp;$D113&amp;",")),1,0)</f>
        <v>0</v>
      </c>
      <c r="K113" s="6" t="n">
        <f aca="false">IF(ISNUMBER(SEARCH(","&amp;K$1&amp;",",","&amp;$D113&amp;",")),1,0)</f>
        <v>0</v>
      </c>
      <c r="L113" s="6" t="n">
        <f aca="false">IF(ISNUMBER(SEARCH(","&amp;L$1&amp;",",","&amp;$D113&amp;",")),1,0)</f>
        <v>0</v>
      </c>
      <c r="M113" s="6" t="n">
        <f aca="false">IF(ISNUMBER(SEARCH(","&amp;M$1&amp;",",","&amp;$D113&amp;",")),1,0)</f>
        <v>1</v>
      </c>
      <c r="N113" s="6" t="n">
        <f aca="false">IF(ISNUMBER(SEARCH(","&amp;N$1&amp;",",","&amp;$D113&amp;",")),1,0)</f>
        <v>0</v>
      </c>
    </row>
    <row r="114" customFormat="false" ht="23.85" hidden="false" customHeight="false" outlineLevel="0" collapsed="false">
      <c r="A114" s="2" t="s">
        <v>285</v>
      </c>
      <c r="B114" s="2" t="s">
        <v>357</v>
      </c>
      <c r="C114" s="3" t="s">
        <v>358</v>
      </c>
      <c r="D114" s="4" t="s">
        <v>309</v>
      </c>
      <c r="E114" s="5" t="s">
        <v>359</v>
      </c>
      <c r="F114" s="6" t="n">
        <f aca="false">IF(ISNUMBER(SEARCH(","&amp;F$1&amp;",",","&amp;$D114&amp;",")),1,0)</f>
        <v>1</v>
      </c>
      <c r="G114" s="6" t="n">
        <f aca="false">IF(ISNUMBER(SEARCH(","&amp;G$1&amp;",",","&amp;$D114&amp;",")),1,0)</f>
        <v>0</v>
      </c>
      <c r="H114" s="6" t="n">
        <f aca="false">IF(ISNUMBER(SEARCH(","&amp;H$1&amp;",",","&amp;$D114&amp;",")),1,0)</f>
        <v>0</v>
      </c>
      <c r="I114" s="6" t="n">
        <f aca="false">IF(ISNUMBER(SEARCH(","&amp;I$1&amp;",",","&amp;$D114&amp;",")),1,0)</f>
        <v>0</v>
      </c>
      <c r="J114" s="6" t="n">
        <f aca="false">IF(ISNUMBER(SEARCH(","&amp;J$1&amp;",",","&amp;$D114&amp;",")),1,0)</f>
        <v>0</v>
      </c>
      <c r="K114" s="6" t="n">
        <f aca="false">IF(ISNUMBER(SEARCH(","&amp;K$1&amp;",",","&amp;$D114&amp;",")),1,0)</f>
        <v>0</v>
      </c>
      <c r="L114" s="6" t="n">
        <f aca="false">IF(ISNUMBER(SEARCH(","&amp;L$1&amp;",",","&amp;$D114&amp;",")),1,0)</f>
        <v>0</v>
      </c>
      <c r="M114" s="6" t="n">
        <f aca="false">IF(ISNUMBER(SEARCH(","&amp;M$1&amp;",",","&amp;$D114&amp;",")),1,0)</f>
        <v>1</v>
      </c>
      <c r="N114" s="6" t="n">
        <f aca="false">IF(ISNUMBER(SEARCH(","&amp;N$1&amp;",",","&amp;$D114&amp;",")),1,0)</f>
        <v>0</v>
      </c>
    </row>
    <row r="115" customFormat="false" ht="23.85" hidden="false" customHeight="false" outlineLevel="0" collapsed="false">
      <c r="A115" s="2" t="s">
        <v>285</v>
      </c>
      <c r="B115" s="2" t="s">
        <v>360</v>
      </c>
      <c r="C115" s="3" t="s">
        <v>361</v>
      </c>
      <c r="D115" s="4" t="s">
        <v>12</v>
      </c>
      <c r="E115" s="5" t="s">
        <v>362</v>
      </c>
      <c r="F115" s="6" t="n">
        <f aca="false">IF(ISNUMBER(SEARCH(","&amp;F$1&amp;",",","&amp;$D115&amp;",")),1,0)</f>
        <v>0</v>
      </c>
      <c r="G115" s="6" t="n">
        <f aca="false">IF(ISNUMBER(SEARCH(","&amp;G$1&amp;",",","&amp;$D115&amp;",")),1,0)</f>
        <v>0</v>
      </c>
      <c r="H115" s="6" t="n">
        <f aca="false">IF(ISNUMBER(SEARCH(","&amp;H$1&amp;",",","&amp;$D115&amp;",")),1,0)</f>
        <v>0</v>
      </c>
      <c r="I115" s="6" t="n">
        <f aca="false">IF(ISNUMBER(SEARCH(","&amp;I$1&amp;",",","&amp;$D115&amp;",")),1,0)</f>
        <v>0</v>
      </c>
      <c r="J115" s="6" t="n">
        <f aca="false">IF(ISNUMBER(SEARCH(","&amp;J$1&amp;",",","&amp;$D115&amp;",")),1,0)</f>
        <v>0</v>
      </c>
      <c r="K115" s="6" t="n">
        <f aca="false">IF(ISNUMBER(SEARCH(","&amp;K$1&amp;",",","&amp;$D115&amp;",")),1,0)</f>
        <v>0</v>
      </c>
      <c r="L115" s="6" t="n">
        <f aca="false">IF(ISNUMBER(SEARCH(","&amp;L$1&amp;",",","&amp;$D115&amp;",")),1,0)</f>
        <v>0</v>
      </c>
      <c r="M115" s="6" t="n">
        <f aca="false">IF(ISNUMBER(SEARCH(","&amp;M$1&amp;",",","&amp;$D115&amp;",")),1,0)</f>
        <v>1</v>
      </c>
      <c r="N115" s="6" t="n">
        <f aca="false">IF(ISNUMBER(SEARCH(","&amp;N$1&amp;",",","&amp;$D115&amp;",")),1,0)</f>
        <v>0</v>
      </c>
    </row>
    <row r="116" customFormat="false" ht="23.85" hidden="false" customHeight="false" outlineLevel="0" collapsed="false">
      <c r="A116" s="2" t="s">
        <v>285</v>
      </c>
      <c r="B116" s="2" t="s">
        <v>363</v>
      </c>
      <c r="C116" s="3" t="s">
        <v>364</v>
      </c>
      <c r="D116" s="4" t="s">
        <v>309</v>
      </c>
      <c r="E116" s="5" t="s">
        <v>365</v>
      </c>
      <c r="F116" s="6" t="n">
        <f aca="false">IF(ISNUMBER(SEARCH(","&amp;F$1&amp;",",","&amp;$D116&amp;",")),1,0)</f>
        <v>1</v>
      </c>
      <c r="G116" s="6" t="n">
        <f aca="false">IF(ISNUMBER(SEARCH(","&amp;G$1&amp;",",","&amp;$D116&amp;",")),1,0)</f>
        <v>0</v>
      </c>
      <c r="H116" s="6" t="n">
        <f aca="false">IF(ISNUMBER(SEARCH(","&amp;H$1&amp;",",","&amp;$D116&amp;",")),1,0)</f>
        <v>0</v>
      </c>
      <c r="I116" s="6" t="n">
        <f aca="false">IF(ISNUMBER(SEARCH(","&amp;I$1&amp;",",","&amp;$D116&amp;",")),1,0)</f>
        <v>0</v>
      </c>
      <c r="J116" s="6" t="n">
        <f aca="false">IF(ISNUMBER(SEARCH(","&amp;J$1&amp;",",","&amp;$D116&amp;",")),1,0)</f>
        <v>0</v>
      </c>
      <c r="K116" s="6" t="n">
        <f aca="false">IF(ISNUMBER(SEARCH(","&amp;K$1&amp;",",","&amp;$D116&amp;",")),1,0)</f>
        <v>0</v>
      </c>
      <c r="L116" s="6" t="n">
        <f aca="false">IF(ISNUMBER(SEARCH(","&amp;L$1&amp;",",","&amp;$D116&amp;",")),1,0)</f>
        <v>0</v>
      </c>
      <c r="M116" s="6" t="n">
        <f aca="false">IF(ISNUMBER(SEARCH(","&amp;M$1&amp;",",","&amp;$D116&amp;",")),1,0)</f>
        <v>1</v>
      </c>
      <c r="N116" s="6" t="n">
        <f aca="false">IF(ISNUMBER(SEARCH(","&amp;N$1&amp;",",","&amp;$D116&amp;",")),1,0)</f>
        <v>0</v>
      </c>
    </row>
    <row r="117" customFormat="false" ht="23.85" hidden="false" customHeight="false" outlineLevel="0" collapsed="false">
      <c r="A117" s="2" t="s">
        <v>285</v>
      </c>
      <c r="B117" s="2" t="s">
        <v>366</v>
      </c>
      <c r="C117" s="3" t="s">
        <v>367</v>
      </c>
      <c r="D117" s="4" t="s">
        <v>309</v>
      </c>
      <c r="E117" s="5" t="s">
        <v>368</v>
      </c>
      <c r="F117" s="6" t="n">
        <f aca="false">IF(ISNUMBER(SEARCH(","&amp;F$1&amp;",",","&amp;$D117&amp;",")),1,0)</f>
        <v>1</v>
      </c>
      <c r="G117" s="6" t="n">
        <f aca="false">IF(ISNUMBER(SEARCH(","&amp;G$1&amp;",",","&amp;$D117&amp;",")),1,0)</f>
        <v>0</v>
      </c>
      <c r="H117" s="6" t="n">
        <f aca="false">IF(ISNUMBER(SEARCH(","&amp;H$1&amp;",",","&amp;$D117&amp;",")),1,0)</f>
        <v>0</v>
      </c>
      <c r="I117" s="6" t="n">
        <f aca="false">IF(ISNUMBER(SEARCH(","&amp;I$1&amp;",",","&amp;$D117&amp;",")),1,0)</f>
        <v>0</v>
      </c>
      <c r="J117" s="6" t="n">
        <f aca="false">IF(ISNUMBER(SEARCH(","&amp;J$1&amp;",",","&amp;$D117&amp;",")),1,0)</f>
        <v>0</v>
      </c>
      <c r="K117" s="6" t="n">
        <f aca="false">IF(ISNUMBER(SEARCH(","&amp;K$1&amp;",",","&amp;$D117&amp;",")),1,0)</f>
        <v>0</v>
      </c>
      <c r="L117" s="6" t="n">
        <f aca="false">IF(ISNUMBER(SEARCH(","&amp;L$1&amp;",",","&amp;$D117&amp;",")),1,0)</f>
        <v>0</v>
      </c>
      <c r="M117" s="6" t="n">
        <f aca="false">IF(ISNUMBER(SEARCH(","&amp;M$1&amp;",",","&amp;$D117&amp;",")),1,0)</f>
        <v>1</v>
      </c>
      <c r="N117" s="6" t="n">
        <f aca="false">IF(ISNUMBER(SEARCH(","&amp;N$1&amp;",",","&amp;$D117&amp;",")),1,0)</f>
        <v>0</v>
      </c>
    </row>
    <row r="118" customFormat="false" ht="23.85" hidden="false" customHeight="false" outlineLevel="0" collapsed="false">
      <c r="A118" s="2" t="s">
        <v>285</v>
      </c>
      <c r="B118" s="2" t="s">
        <v>369</v>
      </c>
      <c r="C118" s="3" t="s">
        <v>370</v>
      </c>
      <c r="D118" s="4" t="s">
        <v>331</v>
      </c>
      <c r="E118" s="5" t="s">
        <v>371</v>
      </c>
      <c r="F118" s="6" t="n">
        <f aca="false">IF(ISNUMBER(SEARCH(","&amp;F$1&amp;",",","&amp;$D118&amp;",")),1,0)</f>
        <v>0</v>
      </c>
      <c r="G118" s="6" t="n">
        <f aca="false">IF(ISNUMBER(SEARCH(","&amp;G$1&amp;",",","&amp;$D118&amp;",")),1,0)</f>
        <v>0</v>
      </c>
      <c r="H118" s="6" t="n">
        <f aca="false">IF(ISNUMBER(SEARCH(","&amp;H$1&amp;",",","&amp;$D118&amp;",")),1,0)</f>
        <v>0</v>
      </c>
      <c r="I118" s="6" t="n">
        <f aca="false">IF(ISNUMBER(SEARCH(","&amp;I$1&amp;",",","&amp;$D118&amp;",")),1,0)</f>
        <v>0</v>
      </c>
      <c r="J118" s="6" t="n">
        <f aca="false">IF(ISNUMBER(SEARCH(","&amp;J$1&amp;",",","&amp;$D118&amp;",")),1,0)</f>
        <v>0</v>
      </c>
      <c r="K118" s="6" t="n">
        <f aca="false">IF(ISNUMBER(SEARCH(","&amp;K$1&amp;",",","&amp;$D118&amp;",")),1,0)</f>
        <v>0</v>
      </c>
      <c r="L118" s="6" t="n">
        <f aca="false">IF(ISNUMBER(SEARCH(","&amp;L$1&amp;",",","&amp;$D118&amp;",")),1,0)</f>
        <v>0</v>
      </c>
      <c r="M118" s="6" t="n">
        <f aca="false">IF(ISNUMBER(SEARCH(","&amp;M$1&amp;",",","&amp;$D118&amp;",")),1,0)</f>
        <v>1</v>
      </c>
      <c r="N118" s="6" t="n">
        <f aca="false">IF(ISNUMBER(SEARCH(","&amp;N$1&amp;",",","&amp;$D118&amp;",")),1,0)</f>
        <v>1</v>
      </c>
    </row>
    <row r="119" customFormat="false" ht="23.85" hidden="false" customHeight="false" outlineLevel="0" collapsed="false">
      <c r="A119" s="2" t="s">
        <v>285</v>
      </c>
      <c r="B119" s="2" t="s">
        <v>372</v>
      </c>
      <c r="C119" s="3" t="s">
        <v>373</v>
      </c>
      <c r="D119" s="4" t="s">
        <v>5</v>
      </c>
      <c r="E119" s="5" t="s">
        <v>374</v>
      </c>
      <c r="F119" s="6" t="n">
        <f aca="false">IF(ISNUMBER(SEARCH(","&amp;F$1&amp;",",","&amp;$D119&amp;",")),1,0)</f>
        <v>1</v>
      </c>
      <c r="G119" s="6" t="n">
        <f aca="false">IF(ISNUMBER(SEARCH(","&amp;G$1&amp;",",","&amp;$D119&amp;",")),1,0)</f>
        <v>0</v>
      </c>
      <c r="H119" s="6" t="n">
        <f aca="false">IF(ISNUMBER(SEARCH(","&amp;H$1&amp;",",","&amp;$D119&amp;",")),1,0)</f>
        <v>0</v>
      </c>
      <c r="I119" s="6" t="n">
        <f aca="false">IF(ISNUMBER(SEARCH(","&amp;I$1&amp;",",","&amp;$D119&amp;",")),1,0)</f>
        <v>0</v>
      </c>
      <c r="J119" s="6" t="n">
        <f aca="false">IF(ISNUMBER(SEARCH(","&amp;J$1&amp;",",","&amp;$D119&amp;",")),1,0)</f>
        <v>0</v>
      </c>
      <c r="K119" s="6" t="n">
        <f aca="false">IF(ISNUMBER(SEARCH(","&amp;K$1&amp;",",","&amp;$D119&amp;",")),1,0)</f>
        <v>0</v>
      </c>
      <c r="L119" s="6" t="n">
        <f aca="false">IF(ISNUMBER(SEARCH(","&amp;L$1&amp;",",","&amp;$D119&amp;",")),1,0)</f>
        <v>0</v>
      </c>
      <c r="M119" s="6" t="n">
        <f aca="false">IF(ISNUMBER(SEARCH(","&amp;M$1&amp;",",","&amp;$D119&amp;",")),1,0)</f>
        <v>0</v>
      </c>
      <c r="N119" s="6" t="n">
        <f aca="false">IF(ISNUMBER(SEARCH(","&amp;N$1&amp;",",","&amp;$D119&amp;",")),1,0)</f>
        <v>0</v>
      </c>
    </row>
    <row r="120" customFormat="false" ht="23.85" hidden="false" customHeight="false" outlineLevel="0" collapsed="false">
      <c r="A120" s="2" t="s">
        <v>285</v>
      </c>
      <c r="B120" s="2" t="s">
        <v>375</v>
      </c>
      <c r="C120" s="3" t="s">
        <v>376</v>
      </c>
      <c r="D120" s="4" t="s">
        <v>12</v>
      </c>
      <c r="E120" s="5" t="s">
        <v>377</v>
      </c>
      <c r="F120" s="6" t="n">
        <f aca="false">IF(ISNUMBER(SEARCH(","&amp;F$1&amp;",",","&amp;$D120&amp;",")),1,0)</f>
        <v>0</v>
      </c>
      <c r="G120" s="6" t="n">
        <f aca="false">IF(ISNUMBER(SEARCH(","&amp;G$1&amp;",",","&amp;$D120&amp;",")),1,0)</f>
        <v>0</v>
      </c>
      <c r="H120" s="6" t="n">
        <f aca="false">IF(ISNUMBER(SEARCH(","&amp;H$1&amp;",",","&amp;$D120&amp;",")),1,0)</f>
        <v>0</v>
      </c>
      <c r="I120" s="6" t="n">
        <f aca="false">IF(ISNUMBER(SEARCH(","&amp;I$1&amp;",",","&amp;$D120&amp;",")),1,0)</f>
        <v>0</v>
      </c>
      <c r="J120" s="6" t="n">
        <f aca="false">IF(ISNUMBER(SEARCH(","&amp;J$1&amp;",",","&amp;$D120&amp;",")),1,0)</f>
        <v>0</v>
      </c>
      <c r="K120" s="6" t="n">
        <f aca="false">IF(ISNUMBER(SEARCH(","&amp;K$1&amp;",",","&amp;$D120&amp;",")),1,0)</f>
        <v>0</v>
      </c>
      <c r="L120" s="6" t="n">
        <f aca="false">IF(ISNUMBER(SEARCH(","&amp;L$1&amp;",",","&amp;$D120&amp;",")),1,0)</f>
        <v>0</v>
      </c>
      <c r="M120" s="6" t="n">
        <f aca="false">IF(ISNUMBER(SEARCH(","&amp;M$1&amp;",",","&amp;$D120&amp;",")),1,0)</f>
        <v>1</v>
      </c>
      <c r="N120" s="6" t="n">
        <f aca="false">IF(ISNUMBER(SEARCH(","&amp;N$1&amp;",",","&amp;$D120&amp;",")),1,0)</f>
        <v>0</v>
      </c>
    </row>
    <row r="121" customFormat="false" ht="23.85" hidden="false" customHeight="false" outlineLevel="0" collapsed="false">
      <c r="A121" s="2" t="s">
        <v>285</v>
      </c>
      <c r="B121" s="2" t="s">
        <v>378</v>
      </c>
      <c r="C121" s="3" t="s">
        <v>379</v>
      </c>
      <c r="D121" s="4" t="s">
        <v>12</v>
      </c>
      <c r="E121" s="5" t="s">
        <v>380</v>
      </c>
      <c r="F121" s="6" t="n">
        <f aca="false">IF(ISNUMBER(SEARCH(","&amp;F$1&amp;",",","&amp;$D121&amp;",")),1,0)</f>
        <v>0</v>
      </c>
      <c r="G121" s="6" t="n">
        <f aca="false">IF(ISNUMBER(SEARCH(","&amp;G$1&amp;",",","&amp;$D121&amp;",")),1,0)</f>
        <v>0</v>
      </c>
      <c r="H121" s="6" t="n">
        <f aca="false">IF(ISNUMBER(SEARCH(","&amp;H$1&amp;",",","&amp;$D121&amp;",")),1,0)</f>
        <v>0</v>
      </c>
      <c r="I121" s="6" t="n">
        <f aca="false">IF(ISNUMBER(SEARCH(","&amp;I$1&amp;",",","&amp;$D121&amp;",")),1,0)</f>
        <v>0</v>
      </c>
      <c r="J121" s="6" t="n">
        <f aca="false">IF(ISNUMBER(SEARCH(","&amp;J$1&amp;",",","&amp;$D121&amp;",")),1,0)</f>
        <v>0</v>
      </c>
      <c r="K121" s="6" t="n">
        <f aca="false">IF(ISNUMBER(SEARCH(","&amp;K$1&amp;",",","&amp;$D121&amp;",")),1,0)</f>
        <v>0</v>
      </c>
      <c r="L121" s="6" t="n">
        <f aca="false">IF(ISNUMBER(SEARCH(","&amp;L$1&amp;",",","&amp;$D121&amp;",")),1,0)</f>
        <v>0</v>
      </c>
      <c r="M121" s="6" t="n">
        <f aca="false">IF(ISNUMBER(SEARCH(","&amp;M$1&amp;",",","&amp;$D121&amp;",")),1,0)</f>
        <v>1</v>
      </c>
      <c r="N121" s="6" t="n">
        <f aca="false">IF(ISNUMBER(SEARCH(","&amp;N$1&amp;",",","&amp;$D121&amp;",")),1,0)</f>
        <v>0</v>
      </c>
    </row>
    <row r="122" customFormat="false" ht="23.85" hidden="false" customHeight="false" outlineLevel="0" collapsed="false">
      <c r="A122" s="2" t="s">
        <v>285</v>
      </c>
      <c r="B122" s="2" t="s">
        <v>381</v>
      </c>
      <c r="C122" s="3" t="s">
        <v>382</v>
      </c>
      <c r="D122" s="4" t="s">
        <v>12</v>
      </c>
      <c r="E122" s="5" t="s">
        <v>383</v>
      </c>
      <c r="F122" s="6" t="n">
        <f aca="false">IF(ISNUMBER(SEARCH(","&amp;F$1&amp;",",","&amp;$D122&amp;",")),1,0)</f>
        <v>0</v>
      </c>
      <c r="G122" s="6" t="n">
        <f aca="false">IF(ISNUMBER(SEARCH(","&amp;G$1&amp;",",","&amp;$D122&amp;",")),1,0)</f>
        <v>0</v>
      </c>
      <c r="H122" s="6" t="n">
        <f aca="false">IF(ISNUMBER(SEARCH(","&amp;H$1&amp;",",","&amp;$D122&amp;",")),1,0)</f>
        <v>0</v>
      </c>
      <c r="I122" s="6" t="n">
        <f aca="false">IF(ISNUMBER(SEARCH(","&amp;I$1&amp;",",","&amp;$D122&amp;",")),1,0)</f>
        <v>0</v>
      </c>
      <c r="J122" s="6" t="n">
        <f aca="false">IF(ISNUMBER(SEARCH(","&amp;J$1&amp;",",","&amp;$D122&amp;",")),1,0)</f>
        <v>0</v>
      </c>
      <c r="K122" s="6" t="n">
        <f aca="false">IF(ISNUMBER(SEARCH(","&amp;K$1&amp;",",","&amp;$D122&amp;",")),1,0)</f>
        <v>0</v>
      </c>
      <c r="L122" s="6" t="n">
        <f aca="false">IF(ISNUMBER(SEARCH(","&amp;L$1&amp;",",","&amp;$D122&amp;",")),1,0)</f>
        <v>0</v>
      </c>
      <c r="M122" s="6" t="n">
        <f aca="false">IF(ISNUMBER(SEARCH(","&amp;M$1&amp;",",","&amp;$D122&amp;",")),1,0)</f>
        <v>1</v>
      </c>
      <c r="N122" s="6" t="n">
        <f aca="false">IF(ISNUMBER(SEARCH(","&amp;N$1&amp;",",","&amp;$D122&amp;",")),1,0)</f>
        <v>0</v>
      </c>
    </row>
    <row r="123" customFormat="false" ht="23.85" hidden="false" customHeight="false" outlineLevel="0" collapsed="false">
      <c r="A123" s="2" t="s">
        <v>285</v>
      </c>
      <c r="B123" s="2" t="s">
        <v>384</v>
      </c>
      <c r="C123" s="3" t="s">
        <v>385</v>
      </c>
      <c r="D123" s="4" t="s">
        <v>12</v>
      </c>
      <c r="E123" s="5" t="s">
        <v>386</v>
      </c>
      <c r="F123" s="6" t="n">
        <f aca="false">IF(ISNUMBER(SEARCH(","&amp;F$1&amp;",",","&amp;$D123&amp;",")),1,0)</f>
        <v>0</v>
      </c>
      <c r="G123" s="6" t="n">
        <f aca="false">IF(ISNUMBER(SEARCH(","&amp;G$1&amp;",",","&amp;$D123&amp;",")),1,0)</f>
        <v>0</v>
      </c>
      <c r="H123" s="6" t="n">
        <f aca="false">IF(ISNUMBER(SEARCH(","&amp;H$1&amp;",",","&amp;$D123&amp;",")),1,0)</f>
        <v>0</v>
      </c>
      <c r="I123" s="6" t="n">
        <f aca="false">IF(ISNUMBER(SEARCH(","&amp;I$1&amp;",",","&amp;$D123&amp;",")),1,0)</f>
        <v>0</v>
      </c>
      <c r="J123" s="6" t="n">
        <f aca="false">IF(ISNUMBER(SEARCH(","&amp;J$1&amp;",",","&amp;$D123&amp;",")),1,0)</f>
        <v>0</v>
      </c>
      <c r="K123" s="6" t="n">
        <f aca="false">IF(ISNUMBER(SEARCH(","&amp;K$1&amp;",",","&amp;$D123&amp;",")),1,0)</f>
        <v>0</v>
      </c>
      <c r="L123" s="6" t="n">
        <f aca="false">IF(ISNUMBER(SEARCH(","&amp;L$1&amp;",",","&amp;$D123&amp;",")),1,0)</f>
        <v>0</v>
      </c>
      <c r="M123" s="6" t="n">
        <f aca="false">IF(ISNUMBER(SEARCH(","&amp;M$1&amp;",",","&amp;$D123&amp;",")),1,0)</f>
        <v>1</v>
      </c>
      <c r="N123" s="6" t="n">
        <f aca="false">IF(ISNUMBER(SEARCH(","&amp;N$1&amp;",",","&amp;$D123&amp;",")),1,0)</f>
        <v>0</v>
      </c>
    </row>
    <row r="124" customFormat="false" ht="23.85" hidden="false" customHeight="false" outlineLevel="0" collapsed="false">
      <c r="A124" s="2" t="s">
        <v>285</v>
      </c>
      <c r="B124" s="2" t="s">
        <v>387</v>
      </c>
      <c r="C124" s="3" t="s">
        <v>388</v>
      </c>
      <c r="D124" s="4" t="s">
        <v>309</v>
      </c>
      <c r="E124" s="5" t="s">
        <v>389</v>
      </c>
      <c r="F124" s="6" t="n">
        <f aca="false">IF(ISNUMBER(SEARCH(","&amp;F$1&amp;",",","&amp;$D124&amp;",")),1,0)</f>
        <v>1</v>
      </c>
      <c r="G124" s="6" t="n">
        <f aca="false">IF(ISNUMBER(SEARCH(","&amp;G$1&amp;",",","&amp;$D124&amp;",")),1,0)</f>
        <v>0</v>
      </c>
      <c r="H124" s="6" t="n">
        <f aca="false">IF(ISNUMBER(SEARCH(","&amp;H$1&amp;",",","&amp;$D124&amp;",")),1,0)</f>
        <v>0</v>
      </c>
      <c r="I124" s="6" t="n">
        <f aca="false">IF(ISNUMBER(SEARCH(","&amp;I$1&amp;",",","&amp;$D124&amp;",")),1,0)</f>
        <v>0</v>
      </c>
      <c r="J124" s="6" t="n">
        <f aca="false">IF(ISNUMBER(SEARCH(","&amp;J$1&amp;",",","&amp;$D124&amp;",")),1,0)</f>
        <v>0</v>
      </c>
      <c r="K124" s="6" t="n">
        <f aca="false">IF(ISNUMBER(SEARCH(","&amp;K$1&amp;",",","&amp;$D124&amp;",")),1,0)</f>
        <v>0</v>
      </c>
      <c r="L124" s="6" t="n">
        <f aca="false">IF(ISNUMBER(SEARCH(","&amp;L$1&amp;",",","&amp;$D124&amp;",")),1,0)</f>
        <v>0</v>
      </c>
      <c r="M124" s="6" t="n">
        <f aca="false">IF(ISNUMBER(SEARCH(","&amp;M$1&amp;",",","&amp;$D124&amp;",")),1,0)</f>
        <v>1</v>
      </c>
      <c r="N124" s="6" t="n">
        <f aca="false">IF(ISNUMBER(SEARCH(","&amp;N$1&amp;",",","&amp;$D124&amp;",")),1,0)</f>
        <v>0</v>
      </c>
    </row>
    <row r="125" customFormat="false" ht="23.85" hidden="false" customHeight="false" outlineLevel="0" collapsed="false">
      <c r="A125" s="2" t="s">
        <v>285</v>
      </c>
      <c r="B125" s="2" t="s">
        <v>390</v>
      </c>
      <c r="C125" s="3" t="s">
        <v>391</v>
      </c>
      <c r="D125" s="4" t="s">
        <v>12</v>
      </c>
      <c r="E125" s="5" t="s">
        <v>392</v>
      </c>
      <c r="F125" s="6" t="n">
        <f aca="false">IF(ISNUMBER(SEARCH(","&amp;F$1&amp;",",","&amp;$D125&amp;",")),1,0)</f>
        <v>0</v>
      </c>
      <c r="G125" s="6" t="n">
        <f aca="false">IF(ISNUMBER(SEARCH(","&amp;G$1&amp;",",","&amp;$D125&amp;",")),1,0)</f>
        <v>0</v>
      </c>
      <c r="H125" s="6" t="n">
        <f aca="false">IF(ISNUMBER(SEARCH(","&amp;H$1&amp;",",","&amp;$D125&amp;",")),1,0)</f>
        <v>0</v>
      </c>
      <c r="I125" s="6" t="n">
        <f aca="false">IF(ISNUMBER(SEARCH(","&amp;I$1&amp;",",","&amp;$D125&amp;",")),1,0)</f>
        <v>0</v>
      </c>
      <c r="J125" s="6" t="n">
        <f aca="false">IF(ISNUMBER(SEARCH(","&amp;J$1&amp;",",","&amp;$D125&amp;",")),1,0)</f>
        <v>0</v>
      </c>
      <c r="K125" s="6" t="n">
        <f aca="false">IF(ISNUMBER(SEARCH(","&amp;K$1&amp;",",","&amp;$D125&amp;",")),1,0)</f>
        <v>0</v>
      </c>
      <c r="L125" s="6" t="n">
        <f aca="false">IF(ISNUMBER(SEARCH(","&amp;L$1&amp;",",","&amp;$D125&amp;",")),1,0)</f>
        <v>0</v>
      </c>
      <c r="M125" s="6" t="n">
        <f aca="false">IF(ISNUMBER(SEARCH(","&amp;M$1&amp;",",","&amp;$D125&amp;",")),1,0)</f>
        <v>1</v>
      </c>
      <c r="N125" s="6" t="n">
        <f aca="false">IF(ISNUMBER(SEARCH(","&amp;N$1&amp;",",","&amp;$D125&amp;",")),1,0)</f>
        <v>0</v>
      </c>
    </row>
    <row r="126" customFormat="false" ht="23.85" hidden="false" customHeight="false" outlineLevel="0" collapsed="false">
      <c r="A126" s="2" t="s">
        <v>285</v>
      </c>
      <c r="B126" s="2" t="s">
        <v>393</v>
      </c>
      <c r="C126" s="3" t="s">
        <v>394</v>
      </c>
      <c r="D126" s="4" t="s">
        <v>12</v>
      </c>
      <c r="E126" s="5" t="s">
        <v>395</v>
      </c>
      <c r="F126" s="6" t="n">
        <f aca="false">IF(ISNUMBER(SEARCH(","&amp;F$1&amp;",",","&amp;$D126&amp;",")),1,0)</f>
        <v>0</v>
      </c>
      <c r="G126" s="6" t="n">
        <f aca="false">IF(ISNUMBER(SEARCH(","&amp;G$1&amp;",",","&amp;$D126&amp;",")),1,0)</f>
        <v>0</v>
      </c>
      <c r="H126" s="6" t="n">
        <f aca="false">IF(ISNUMBER(SEARCH(","&amp;H$1&amp;",",","&amp;$D126&amp;",")),1,0)</f>
        <v>0</v>
      </c>
      <c r="I126" s="6" t="n">
        <f aca="false">IF(ISNUMBER(SEARCH(","&amp;I$1&amp;",",","&amp;$D126&amp;",")),1,0)</f>
        <v>0</v>
      </c>
      <c r="J126" s="6" t="n">
        <f aca="false">IF(ISNUMBER(SEARCH(","&amp;J$1&amp;",",","&amp;$D126&amp;",")),1,0)</f>
        <v>0</v>
      </c>
      <c r="K126" s="6" t="n">
        <f aca="false">IF(ISNUMBER(SEARCH(","&amp;K$1&amp;",",","&amp;$D126&amp;",")),1,0)</f>
        <v>0</v>
      </c>
      <c r="L126" s="6" t="n">
        <f aca="false">IF(ISNUMBER(SEARCH(","&amp;L$1&amp;",",","&amp;$D126&amp;",")),1,0)</f>
        <v>0</v>
      </c>
      <c r="M126" s="6" t="n">
        <f aca="false">IF(ISNUMBER(SEARCH(","&amp;M$1&amp;",",","&amp;$D126&amp;",")),1,0)</f>
        <v>1</v>
      </c>
      <c r="N126" s="6" t="n">
        <f aca="false">IF(ISNUMBER(SEARCH(","&amp;N$1&amp;",",","&amp;$D126&amp;",")),1,0)</f>
        <v>0</v>
      </c>
    </row>
    <row r="127" customFormat="false" ht="23.85" hidden="false" customHeight="false" outlineLevel="0" collapsed="false">
      <c r="A127" s="2" t="s">
        <v>285</v>
      </c>
      <c r="B127" s="2" t="s">
        <v>396</v>
      </c>
      <c r="C127" s="3" t="s">
        <v>397</v>
      </c>
      <c r="D127" s="4" t="s">
        <v>309</v>
      </c>
      <c r="E127" s="5" t="s">
        <v>398</v>
      </c>
      <c r="F127" s="6" t="n">
        <f aca="false">IF(ISNUMBER(SEARCH(","&amp;F$1&amp;",",","&amp;$D127&amp;",")),1,0)</f>
        <v>1</v>
      </c>
      <c r="G127" s="6" t="n">
        <f aca="false">IF(ISNUMBER(SEARCH(","&amp;G$1&amp;",",","&amp;$D127&amp;",")),1,0)</f>
        <v>0</v>
      </c>
      <c r="H127" s="6" t="n">
        <f aca="false">IF(ISNUMBER(SEARCH(","&amp;H$1&amp;",",","&amp;$D127&amp;",")),1,0)</f>
        <v>0</v>
      </c>
      <c r="I127" s="6" t="n">
        <f aca="false">IF(ISNUMBER(SEARCH(","&amp;I$1&amp;",",","&amp;$D127&amp;",")),1,0)</f>
        <v>0</v>
      </c>
      <c r="J127" s="6" t="n">
        <f aca="false">IF(ISNUMBER(SEARCH(","&amp;J$1&amp;",",","&amp;$D127&amp;",")),1,0)</f>
        <v>0</v>
      </c>
      <c r="K127" s="6" t="n">
        <f aca="false">IF(ISNUMBER(SEARCH(","&amp;K$1&amp;",",","&amp;$D127&amp;",")),1,0)</f>
        <v>0</v>
      </c>
      <c r="L127" s="6" t="n">
        <f aca="false">IF(ISNUMBER(SEARCH(","&amp;L$1&amp;",",","&amp;$D127&amp;",")),1,0)</f>
        <v>0</v>
      </c>
      <c r="M127" s="6" t="n">
        <f aca="false">IF(ISNUMBER(SEARCH(","&amp;M$1&amp;",",","&amp;$D127&amp;",")),1,0)</f>
        <v>1</v>
      </c>
      <c r="N127" s="6" t="n">
        <f aca="false">IF(ISNUMBER(SEARCH(","&amp;N$1&amp;",",","&amp;$D127&amp;",")),1,0)</f>
        <v>0</v>
      </c>
    </row>
    <row r="128" customFormat="false" ht="23.85" hidden="false" customHeight="false" outlineLevel="0" collapsed="false">
      <c r="A128" s="2" t="s">
        <v>285</v>
      </c>
      <c r="B128" s="2" t="s">
        <v>399</v>
      </c>
      <c r="C128" s="3" t="s">
        <v>400</v>
      </c>
      <c r="D128" s="4" t="s">
        <v>309</v>
      </c>
      <c r="E128" s="5" t="s">
        <v>401</v>
      </c>
      <c r="F128" s="6" t="n">
        <f aca="false">IF(ISNUMBER(SEARCH(","&amp;F$1&amp;",",","&amp;$D128&amp;",")),1,0)</f>
        <v>1</v>
      </c>
      <c r="G128" s="6" t="n">
        <f aca="false">IF(ISNUMBER(SEARCH(","&amp;G$1&amp;",",","&amp;$D128&amp;",")),1,0)</f>
        <v>0</v>
      </c>
      <c r="H128" s="6" t="n">
        <f aca="false">IF(ISNUMBER(SEARCH(","&amp;H$1&amp;",",","&amp;$D128&amp;",")),1,0)</f>
        <v>0</v>
      </c>
      <c r="I128" s="6" t="n">
        <f aca="false">IF(ISNUMBER(SEARCH(","&amp;I$1&amp;",",","&amp;$D128&amp;",")),1,0)</f>
        <v>0</v>
      </c>
      <c r="J128" s="6" t="n">
        <f aca="false">IF(ISNUMBER(SEARCH(","&amp;J$1&amp;",",","&amp;$D128&amp;",")),1,0)</f>
        <v>0</v>
      </c>
      <c r="K128" s="6" t="n">
        <f aca="false">IF(ISNUMBER(SEARCH(","&amp;K$1&amp;",",","&amp;$D128&amp;",")),1,0)</f>
        <v>0</v>
      </c>
      <c r="L128" s="6" t="n">
        <f aca="false">IF(ISNUMBER(SEARCH(","&amp;L$1&amp;",",","&amp;$D128&amp;",")),1,0)</f>
        <v>0</v>
      </c>
      <c r="M128" s="6" t="n">
        <f aca="false">IF(ISNUMBER(SEARCH(","&amp;M$1&amp;",",","&amp;$D128&amp;",")),1,0)</f>
        <v>1</v>
      </c>
      <c r="N128" s="6" t="n">
        <f aca="false">IF(ISNUMBER(SEARCH(","&amp;N$1&amp;",",","&amp;$D128&amp;",")),1,0)</f>
        <v>0</v>
      </c>
    </row>
    <row r="129" customFormat="false" ht="23.85" hidden="false" customHeight="false" outlineLevel="0" collapsed="false">
      <c r="A129" s="2" t="s">
        <v>285</v>
      </c>
      <c r="B129" s="2" t="s">
        <v>402</v>
      </c>
      <c r="C129" s="3" t="s">
        <v>403</v>
      </c>
      <c r="D129" s="4" t="s">
        <v>404</v>
      </c>
      <c r="E129" s="5" t="s">
        <v>405</v>
      </c>
      <c r="F129" s="6" t="n">
        <f aca="false">IF(ISNUMBER(SEARCH(","&amp;F$1&amp;",",","&amp;$D129&amp;",")),1,0)</f>
        <v>0</v>
      </c>
      <c r="G129" s="6" t="n">
        <f aca="false">IF(ISNUMBER(SEARCH(","&amp;G$1&amp;",",","&amp;$D129&amp;",")),1,0)</f>
        <v>0</v>
      </c>
      <c r="H129" s="6" t="n">
        <f aca="false">IF(ISNUMBER(SEARCH(","&amp;H$1&amp;",",","&amp;$D129&amp;",")),1,0)</f>
        <v>0</v>
      </c>
      <c r="I129" s="6" t="n">
        <f aca="false">IF(ISNUMBER(SEARCH(","&amp;I$1&amp;",",","&amp;$D129&amp;",")),1,0)</f>
        <v>1</v>
      </c>
      <c r="J129" s="6" t="n">
        <f aca="false">IF(ISNUMBER(SEARCH(","&amp;J$1&amp;",",","&amp;$D129&amp;",")),1,0)</f>
        <v>0</v>
      </c>
      <c r="K129" s="6" t="n">
        <f aca="false">IF(ISNUMBER(SEARCH(","&amp;K$1&amp;",",","&amp;$D129&amp;",")),1,0)</f>
        <v>0</v>
      </c>
      <c r="L129" s="6" t="n">
        <f aca="false">IF(ISNUMBER(SEARCH(","&amp;L$1&amp;",",","&amp;$D129&amp;",")),1,0)</f>
        <v>0</v>
      </c>
      <c r="M129" s="6" t="n">
        <f aca="false">IF(ISNUMBER(SEARCH(","&amp;M$1&amp;",",","&amp;$D129&amp;",")),1,0)</f>
        <v>1</v>
      </c>
      <c r="N129" s="6" t="n">
        <f aca="false">IF(ISNUMBER(SEARCH(","&amp;N$1&amp;",",","&amp;$D129&amp;",")),1,0)</f>
        <v>0</v>
      </c>
    </row>
    <row r="130" customFormat="false" ht="23.85" hidden="false" customHeight="false" outlineLevel="0" collapsed="false">
      <c r="A130" s="2" t="s">
        <v>285</v>
      </c>
      <c r="B130" s="2" t="s">
        <v>406</v>
      </c>
      <c r="C130" s="3" t="s">
        <v>407</v>
      </c>
      <c r="D130" s="4" t="s">
        <v>404</v>
      </c>
      <c r="E130" s="5" t="s">
        <v>408</v>
      </c>
      <c r="F130" s="6" t="n">
        <f aca="false">IF(ISNUMBER(SEARCH(","&amp;F$1&amp;",",","&amp;$D130&amp;",")),1,0)</f>
        <v>0</v>
      </c>
      <c r="G130" s="6" t="n">
        <f aca="false">IF(ISNUMBER(SEARCH(","&amp;G$1&amp;",",","&amp;$D130&amp;",")),1,0)</f>
        <v>0</v>
      </c>
      <c r="H130" s="6" t="n">
        <f aca="false">IF(ISNUMBER(SEARCH(","&amp;H$1&amp;",",","&amp;$D130&amp;",")),1,0)</f>
        <v>0</v>
      </c>
      <c r="I130" s="6" t="n">
        <f aca="false">IF(ISNUMBER(SEARCH(","&amp;I$1&amp;",",","&amp;$D130&amp;",")),1,0)</f>
        <v>1</v>
      </c>
      <c r="J130" s="6" t="n">
        <f aca="false">IF(ISNUMBER(SEARCH(","&amp;J$1&amp;",",","&amp;$D130&amp;",")),1,0)</f>
        <v>0</v>
      </c>
      <c r="K130" s="6" t="n">
        <f aca="false">IF(ISNUMBER(SEARCH(","&amp;K$1&amp;",",","&amp;$D130&amp;",")),1,0)</f>
        <v>0</v>
      </c>
      <c r="L130" s="6" t="n">
        <f aca="false">IF(ISNUMBER(SEARCH(","&amp;L$1&amp;",",","&amp;$D130&amp;",")),1,0)</f>
        <v>0</v>
      </c>
      <c r="M130" s="6" t="n">
        <f aca="false">IF(ISNUMBER(SEARCH(","&amp;M$1&amp;",",","&amp;$D130&amp;",")),1,0)</f>
        <v>1</v>
      </c>
      <c r="N130" s="6" t="n">
        <f aca="false">IF(ISNUMBER(SEARCH(","&amp;N$1&amp;",",","&amp;$D130&amp;",")),1,0)</f>
        <v>0</v>
      </c>
    </row>
    <row r="131" customFormat="false" ht="23.85" hidden="false" customHeight="false" outlineLevel="0" collapsed="false">
      <c r="A131" s="2" t="s">
        <v>285</v>
      </c>
      <c r="B131" s="2" t="s">
        <v>409</v>
      </c>
      <c r="C131" s="3" t="s">
        <v>410</v>
      </c>
      <c r="D131" s="4" t="s">
        <v>404</v>
      </c>
      <c r="E131" s="5" t="s">
        <v>411</v>
      </c>
      <c r="F131" s="6" t="n">
        <f aca="false">IF(ISNUMBER(SEARCH(","&amp;F$1&amp;",",","&amp;$D131&amp;",")),1,0)</f>
        <v>0</v>
      </c>
      <c r="G131" s="6" t="n">
        <f aca="false">IF(ISNUMBER(SEARCH(","&amp;G$1&amp;",",","&amp;$D131&amp;",")),1,0)</f>
        <v>0</v>
      </c>
      <c r="H131" s="6" t="n">
        <f aca="false">IF(ISNUMBER(SEARCH(","&amp;H$1&amp;",",","&amp;$D131&amp;",")),1,0)</f>
        <v>0</v>
      </c>
      <c r="I131" s="6" t="n">
        <f aca="false">IF(ISNUMBER(SEARCH(","&amp;I$1&amp;",",","&amp;$D131&amp;",")),1,0)</f>
        <v>1</v>
      </c>
      <c r="J131" s="6" t="n">
        <f aca="false">IF(ISNUMBER(SEARCH(","&amp;J$1&amp;",",","&amp;$D131&amp;",")),1,0)</f>
        <v>0</v>
      </c>
      <c r="K131" s="6" t="n">
        <f aca="false">IF(ISNUMBER(SEARCH(","&amp;K$1&amp;",",","&amp;$D131&amp;",")),1,0)</f>
        <v>0</v>
      </c>
      <c r="L131" s="6" t="n">
        <f aca="false">IF(ISNUMBER(SEARCH(","&amp;L$1&amp;",",","&amp;$D131&amp;",")),1,0)</f>
        <v>0</v>
      </c>
      <c r="M131" s="6" t="n">
        <f aca="false">IF(ISNUMBER(SEARCH(","&amp;M$1&amp;",",","&amp;$D131&amp;",")),1,0)</f>
        <v>1</v>
      </c>
      <c r="N131" s="6" t="n">
        <f aca="false">IF(ISNUMBER(SEARCH(","&amp;N$1&amp;",",","&amp;$D131&amp;",")),1,0)</f>
        <v>0</v>
      </c>
    </row>
    <row r="132" customFormat="false" ht="23.85" hidden="false" customHeight="false" outlineLevel="0" collapsed="false">
      <c r="A132" s="2" t="s">
        <v>285</v>
      </c>
      <c r="B132" s="2" t="s">
        <v>412</v>
      </c>
      <c r="C132" s="3" t="s">
        <v>413</v>
      </c>
      <c r="D132" s="4" t="s">
        <v>404</v>
      </c>
      <c r="E132" s="5" t="s">
        <v>414</v>
      </c>
      <c r="F132" s="6" t="n">
        <f aca="false">IF(ISNUMBER(SEARCH(","&amp;F$1&amp;",",","&amp;$D132&amp;",")),1,0)</f>
        <v>0</v>
      </c>
      <c r="G132" s="6" t="n">
        <f aca="false">IF(ISNUMBER(SEARCH(","&amp;G$1&amp;",",","&amp;$D132&amp;",")),1,0)</f>
        <v>0</v>
      </c>
      <c r="H132" s="6" t="n">
        <f aca="false">IF(ISNUMBER(SEARCH(","&amp;H$1&amp;",",","&amp;$D132&amp;",")),1,0)</f>
        <v>0</v>
      </c>
      <c r="I132" s="6" t="n">
        <f aca="false">IF(ISNUMBER(SEARCH(","&amp;I$1&amp;",",","&amp;$D132&amp;",")),1,0)</f>
        <v>1</v>
      </c>
      <c r="J132" s="6" t="n">
        <f aca="false">IF(ISNUMBER(SEARCH(","&amp;J$1&amp;",",","&amp;$D132&amp;",")),1,0)</f>
        <v>0</v>
      </c>
      <c r="K132" s="6" t="n">
        <f aca="false">IF(ISNUMBER(SEARCH(","&amp;K$1&amp;",",","&amp;$D132&amp;",")),1,0)</f>
        <v>0</v>
      </c>
      <c r="L132" s="6" t="n">
        <f aca="false">IF(ISNUMBER(SEARCH(","&amp;L$1&amp;",",","&amp;$D132&amp;",")),1,0)</f>
        <v>0</v>
      </c>
      <c r="M132" s="6" t="n">
        <f aca="false">IF(ISNUMBER(SEARCH(","&amp;M$1&amp;",",","&amp;$D132&amp;",")),1,0)</f>
        <v>1</v>
      </c>
      <c r="N132" s="6" t="n">
        <f aca="false">IF(ISNUMBER(SEARCH(","&amp;N$1&amp;",",","&amp;$D132&amp;",")),1,0)</f>
        <v>0</v>
      </c>
    </row>
    <row r="133" customFormat="false" ht="23.85" hidden="false" customHeight="false" outlineLevel="0" collapsed="false">
      <c r="A133" s="2" t="s">
        <v>415</v>
      </c>
      <c r="B133" s="2" t="s">
        <v>416</v>
      </c>
      <c r="C133" s="3" t="s">
        <v>417</v>
      </c>
      <c r="D133" s="4" t="s">
        <v>5</v>
      </c>
      <c r="E133" s="5" t="s">
        <v>418</v>
      </c>
      <c r="F133" s="6" t="n">
        <f aca="false">IF(ISNUMBER(SEARCH(","&amp;F$1&amp;",",","&amp;$D133&amp;",")),1,0)</f>
        <v>1</v>
      </c>
      <c r="G133" s="6" t="n">
        <f aca="false">IF(ISNUMBER(SEARCH(","&amp;G$1&amp;",",","&amp;$D133&amp;",")),1,0)</f>
        <v>0</v>
      </c>
      <c r="H133" s="6" t="n">
        <f aca="false">IF(ISNUMBER(SEARCH(","&amp;H$1&amp;",",","&amp;$D133&amp;",")),1,0)</f>
        <v>0</v>
      </c>
      <c r="I133" s="6" t="n">
        <f aca="false">IF(ISNUMBER(SEARCH(","&amp;I$1&amp;",",","&amp;$D133&amp;",")),1,0)</f>
        <v>0</v>
      </c>
      <c r="J133" s="6" t="n">
        <f aca="false">IF(ISNUMBER(SEARCH(","&amp;J$1&amp;",",","&amp;$D133&amp;",")),1,0)</f>
        <v>0</v>
      </c>
      <c r="K133" s="6" t="n">
        <f aca="false">IF(ISNUMBER(SEARCH(","&amp;K$1&amp;",",","&amp;$D133&amp;",")),1,0)</f>
        <v>0</v>
      </c>
      <c r="L133" s="6" t="n">
        <f aca="false">IF(ISNUMBER(SEARCH(","&amp;L$1&amp;",",","&amp;$D133&amp;",")),1,0)</f>
        <v>0</v>
      </c>
      <c r="M133" s="6" t="n">
        <f aca="false">IF(ISNUMBER(SEARCH(","&amp;M$1&amp;",",","&amp;$D133&amp;",")),1,0)</f>
        <v>0</v>
      </c>
      <c r="N133" s="6" t="n">
        <f aca="false">IF(ISNUMBER(SEARCH(","&amp;N$1&amp;",",","&amp;$D133&amp;",")),1,0)</f>
        <v>0</v>
      </c>
    </row>
    <row r="134" customFormat="false" ht="23.85" hidden="false" customHeight="false" outlineLevel="0" collapsed="false">
      <c r="A134" s="2" t="s">
        <v>415</v>
      </c>
      <c r="B134" s="2" t="s">
        <v>416</v>
      </c>
      <c r="C134" s="3" t="s">
        <v>419</v>
      </c>
      <c r="D134" s="4" t="s">
        <v>13</v>
      </c>
      <c r="E134" s="5" t="s">
        <v>420</v>
      </c>
      <c r="F134" s="6" t="n">
        <f aca="false">IF(ISNUMBER(SEARCH(","&amp;F$1&amp;",",","&amp;$D134&amp;",")),1,0)</f>
        <v>0</v>
      </c>
      <c r="G134" s="6" t="n">
        <f aca="false">IF(ISNUMBER(SEARCH(","&amp;G$1&amp;",",","&amp;$D134&amp;",")),1,0)</f>
        <v>0</v>
      </c>
      <c r="H134" s="6" t="n">
        <f aca="false">IF(ISNUMBER(SEARCH(","&amp;H$1&amp;",",","&amp;$D134&amp;",")),1,0)</f>
        <v>0</v>
      </c>
      <c r="I134" s="6" t="n">
        <f aca="false">IF(ISNUMBER(SEARCH(","&amp;I$1&amp;",",","&amp;$D134&amp;",")),1,0)</f>
        <v>0</v>
      </c>
      <c r="J134" s="6" t="n">
        <f aca="false">IF(ISNUMBER(SEARCH(","&amp;J$1&amp;",",","&amp;$D134&amp;",")),1,0)</f>
        <v>0</v>
      </c>
      <c r="K134" s="6" t="n">
        <f aca="false">IF(ISNUMBER(SEARCH(","&amp;K$1&amp;",",","&amp;$D134&amp;",")),1,0)</f>
        <v>0</v>
      </c>
      <c r="L134" s="6" t="n">
        <f aca="false">IF(ISNUMBER(SEARCH(","&amp;L$1&amp;",",","&amp;$D134&amp;",")),1,0)</f>
        <v>0</v>
      </c>
      <c r="M134" s="6" t="n">
        <f aca="false">IF(ISNUMBER(SEARCH(","&amp;M$1&amp;",",","&amp;$D134&amp;",")),1,0)</f>
        <v>0</v>
      </c>
      <c r="N134" s="6" t="n">
        <f aca="false">IF(ISNUMBER(SEARCH(","&amp;N$1&amp;",",","&amp;$D134&amp;",")),1,0)</f>
        <v>1</v>
      </c>
    </row>
    <row r="135" customFormat="false" ht="23.85" hidden="false" customHeight="false" outlineLevel="0" collapsed="false">
      <c r="A135" s="2" t="s">
        <v>415</v>
      </c>
      <c r="B135" s="2" t="s">
        <v>416</v>
      </c>
      <c r="C135" s="3" t="s">
        <v>421</v>
      </c>
      <c r="D135" s="4" t="s">
        <v>13</v>
      </c>
      <c r="E135" s="5" t="s">
        <v>422</v>
      </c>
      <c r="F135" s="6" t="n">
        <f aca="false">IF(ISNUMBER(SEARCH(","&amp;F$1&amp;",",","&amp;$D135&amp;",")),1,0)</f>
        <v>0</v>
      </c>
      <c r="G135" s="6" t="n">
        <f aca="false">IF(ISNUMBER(SEARCH(","&amp;G$1&amp;",",","&amp;$D135&amp;",")),1,0)</f>
        <v>0</v>
      </c>
      <c r="H135" s="6" t="n">
        <f aca="false">IF(ISNUMBER(SEARCH(","&amp;H$1&amp;",",","&amp;$D135&amp;",")),1,0)</f>
        <v>0</v>
      </c>
      <c r="I135" s="6" t="n">
        <f aca="false">IF(ISNUMBER(SEARCH(","&amp;I$1&amp;",",","&amp;$D135&amp;",")),1,0)</f>
        <v>0</v>
      </c>
      <c r="J135" s="6" t="n">
        <f aca="false">IF(ISNUMBER(SEARCH(","&amp;J$1&amp;",",","&amp;$D135&amp;",")),1,0)</f>
        <v>0</v>
      </c>
      <c r="K135" s="6" t="n">
        <f aca="false">IF(ISNUMBER(SEARCH(","&amp;K$1&amp;",",","&amp;$D135&amp;",")),1,0)</f>
        <v>0</v>
      </c>
      <c r="L135" s="6" t="n">
        <f aca="false">IF(ISNUMBER(SEARCH(","&amp;L$1&amp;",",","&amp;$D135&amp;",")),1,0)</f>
        <v>0</v>
      </c>
      <c r="M135" s="6" t="n">
        <f aca="false">IF(ISNUMBER(SEARCH(","&amp;M$1&amp;",",","&amp;$D135&amp;",")),1,0)</f>
        <v>0</v>
      </c>
      <c r="N135" s="6" t="n">
        <f aca="false">IF(ISNUMBER(SEARCH(","&amp;N$1&amp;",",","&amp;$D135&amp;",")),1,0)</f>
        <v>1</v>
      </c>
    </row>
    <row r="136" customFormat="false" ht="23.85" hidden="false" customHeight="false" outlineLevel="0" collapsed="false">
      <c r="A136" s="2" t="s">
        <v>415</v>
      </c>
      <c r="B136" s="2" t="s">
        <v>423</v>
      </c>
      <c r="C136" s="3" t="s">
        <v>417</v>
      </c>
      <c r="D136" s="4" t="s">
        <v>5</v>
      </c>
      <c r="E136" s="5" t="s">
        <v>424</v>
      </c>
      <c r="F136" s="6" t="n">
        <f aca="false">IF(ISNUMBER(SEARCH(","&amp;F$1&amp;",",","&amp;$D136&amp;",")),1,0)</f>
        <v>1</v>
      </c>
      <c r="G136" s="6" t="n">
        <f aca="false">IF(ISNUMBER(SEARCH(","&amp;G$1&amp;",",","&amp;$D136&amp;",")),1,0)</f>
        <v>0</v>
      </c>
      <c r="H136" s="6" t="n">
        <f aca="false">IF(ISNUMBER(SEARCH(","&amp;H$1&amp;",",","&amp;$D136&amp;",")),1,0)</f>
        <v>0</v>
      </c>
      <c r="I136" s="6" t="n">
        <f aca="false">IF(ISNUMBER(SEARCH(","&amp;I$1&amp;",",","&amp;$D136&amp;",")),1,0)</f>
        <v>0</v>
      </c>
      <c r="J136" s="6" t="n">
        <f aca="false">IF(ISNUMBER(SEARCH(","&amp;J$1&amp;",",","&amp;$D136&amp;",")),1,0)</f>
        <v>0</v>
      </c>
      <c r="K136" s="6" t="n">
        <f aca="false">IF(ISNUMBER(SEARCH(","&amp;K$1&amp;",",","&amp;$D136&amp;",")),1,0)</f>
        <v>0</v>
      </c>
      <c r="L136" s="6" t="n">
        <f aca="false">IF(ISNUMBER(SEARCH(","&amp;L$1&amp;",",","&amp;$D136&amp;",")),1,0)</f>
        <v>0</v>
      </c>
      <c r="M136" s="6" t="n">
        <f aca="false">IF(ISNUMBER(SEARCH(","&amp;M$1&amp;",",","&amp;$D136&amp;",")),1,0)</f>
        <v>0</v>
      </c>
      <c r="N136" s="6" t="n">
        <f aca="false">IF(ISNUMBER(SEARCH(","&amp;N$1&amp;",",","&amp;$D136&amp;",")),1,0)</f>
        <v>0</v>
      </c>
    </row>
    <row r="137" customFormat="false" ht="23.85" hidden="false" customHeight="false" outlineLevel="0" collapsed="false">
      <c r="A137" s="2" t="s">
        <v>415</v>
      </c>
      <c r="B137" s="2" t="s">
        <v>423</v>
      </c>
      <c r="C137" s="3" t="s">
        <v>419</v>
      </c>
      <c r="D137" s="4" t="s">
        <v>13</v>
      </c>
      <c r="E137" s="5" t="s">
        <v>420</v>
      </c>
      <c r="F137" s="6" t="n">
        <f aca="false">IF(ISNUMBER(SEARCH(","&amp;F$1&amp;",",","&amp;$D137&amp;",")),1,0)</f>
        <v>0</v>
      </c>
      <c r="G137" s="6" t="n">
        <f aca="false">IF(ISNUMBER(SEARCH(","&amp;G$1&amp;",",","&amp;$D137&amp;",")),1,0)</f>
        <v>0</v>
      </c>
      <c r="H137" s="6" t="n">
        <f aca="false">IF(ISNUMBER(SEARCH(","&amp;H$1&amp;",",","&amp;$D137&amp;",")),1,0)</f>
        <v>0</v>
      </c>
      <c r="I137" s="6" t="n">
        <f aca="false">IF(ISNUMBER(SEARCH(","&amp;I$1&amp;",",","&amp;$D137&amp;",")),1,0)</f>
        <v>0</v>
      </c>
      <c r="J137" s="6" t="n">
        <f aca="false">IF(ISNUMBER(SEARCH(","&amp;J$1&amp;",",","&amp;$D137&amp;",")),1,0)</f>
        <v>0</v>
      </c>
      <c r="K137" s="6" t="n">
        <f aca="false">IF(ISNUMBER(SEARCH(","&amp;K$1&amp;",",","&amp;$D137&amp;",")),1,0)</f>
        <v>0</v>
      </c>
      <c r="L137" s="6" t="n">
        <f aca="false">IF(ISNUMBER(SEARCH(","&amp;L$1&amp;",",","&amp;$D137&amp;",")),1,0)</f>
        <v>0</v>
      </c>
      <c r="M137" s="6" t="n">
        <f aca="false">IF(ISNUMBER(SEARCH(","&amp;M$1&amp;",",","&amp;$D137&amp;",")),1,0)</f>
        <v>0</v>
      </c>
      <c r="N137" s="6" t="n">
        <f aca="false">IF(ISNUMBER(SEARCH(","&amp;N$1&amp;",",","&amp;$D137&amp;",")),1,0)</f>
        <v>1</v>
      </c>
    </row>
    <row r="138" customFormat="false" ht="23.85" hidden="false" customHeight="false" outlineLevel="0" collapsed="false">
      <c r="A138" s="2" t="s">
        <v>415</v>
      </c>
      <c r="B138" s="2" t="s">
        <v>423</v>
      </c>
      <c r="C138" s="3" t="s">
        <v>421</v>
      </c>
      <c r="D138" s="4" t="s">
        <v>13</v>
      </c>
      <c r="E138" s="5" t="s">
        <v>422</v>
      </c>
      <c r="F138" s="6" t="n">
        <f aca="false">IF(ISNUMBER(SEARCH(","&amp;F$1&amp;",",","&amp;$D138&amp;",")),1,0)</f>
        <v>0</v>
      </c>
      <c r="G138" s="6" t="n">
        <f aca="false">IF(ISNUMBER(SEARCH(","&amp;G$1&amp;",",","&amp;$D138&amp;",")),1,0)</f>
        <v>0</v>
      </c>
      <c r="H138" s="6" t="n">
        <f aca="false">IF(ISNUMBER(SEARCH(","&amp;H$1&amp;",",","&amp;$D138&amp;",")),1,0)</f>
        <v>0</v>
      </c>
      <c r="I138" s="6" t="n">
        <f aca="false">IF(ISNUMBER(SEARCH(","&amp;I$1&amp;",",","&amp;$D138&amp;",")),1,0)</f>
        <v>0</v>
      </c>
      <c r="J138" s="6" t="n">
        <f aca="false">IF(ISNUMBER(SEARCH(","&amp;J$1&amp;",",","&amp;$D138&amp;",")),1,0)</f>
        <v>0</v>
      </c>
      <c r="K138" s="6" t="n">
        <f aca="false">IF(ISNUMBER(SEARCH(","&amp;K$1&amp;",",","&amp;$D138&amp;",")),1,0)</f>
        <v>0</v>
      </c>
      <c r="L138" s="6" t="n">
        <f aca="false">IF(ISNUMBER(SEARCH(","&amp;L$1&amp;",",","&amp;$D138&amp;",")),1,0)</f>
        <v>0</v>
      </c>
      <c r="M138" s="6" t="n">
        <f aca="false">IF(ISNUMBER(SEARCH(","&amp;M$1&amp;",",","&amp;$D138&amp;",")),1,0)</f>
        <v>0</v>
      </c>
      <c r="N138" s="6" t="n">
        <f aca="false">IF(ISNUMBER(SEARCH(","&amp;N$1&amp;",",","&amp;$D138&amp;",")),1,0)</f>
        <v>1</v>
      </c>
    </row>
    <row r="139" customFormat="false" ht="23.85" hidden="false" customHeight="false" outlineLevel="0" collapsed="false">
      <c r="A139" s="2" t="s">
        <v>415</v>
      </c>
      <c r="B139" s="2" t="s">
        <v>425</v>
      </c>
      <c r="C139" s="3" t="s">
        <v>417</v>
      </c>
      <c r="D139" s="4" t="s">
        <v>5</v>
      </c>
      <c r="E139" s="5" t="s">
        <v>426</v>
      </c>
      <c r="F139" s="6" t="n">
        <f aca="false">IF(ISNUMBER(SEARCH(","&amp;F$1&amp;",",","&amp;$D139&amp;",")),1,0)</f>
        <v>1</v>
      </c>
      <c r="G139" s="6" t="n">
        <f aca="false">IF(ISNUMBER(SEARCH(","&amp;G$1&amp;",",","&amp;$D139&amp;",")),1,0)</f>
        <v>0</v>
      </c>
      <c r="H139" s="6" t="n">
        <f aca="false">IF(ISNUMBER(SEARCH(","&amp;H$1&amp;",",","&amp;$D139&amp;",")),1,0)</f>
        <v>0</v>
      </c>
      <c r="I139" s="6" t="n">
        <f aca="false">IF(ISNUMBER(SEARCH(","&amp;I$1&amp;",",","&amp;$D139&amp;",")),1,0)</f>
        <v>0</v>
      </c>
      <c r="J139" s="6" t="n">
        <f aca="false">IF(ISNUMBER(SEARCH(","&amp;J$1&amp;",",","&amp;$D139&amp;",")),1,0)</f>
        <v>0</v>
      </c>
      <c r="K139" s="6" t="n">
        <f aca="false">IF(ISNUMBER(SEARCH(","&amp;K$1&amp;",",","&amp;$D139&amp;",")),1,0)</f>
        <v>0</v>
      </c>
      <c r="L139" s="6" t="n">
        <f aca="false">IF(ISNUMBER(SEARCH(","&amp;L$1&amp;",",","&amp;$D139&amp;",")),1,0)</f>
        <v>0</v>
      </c>
      <c r="M139" s="6" t="n">
        <f aca="false">IF(ISNUMBER(SEARCH(","&amp;M$1&amp;",",","&amp;$D139&amp;",")),1,0)</f>
        <v>0</v>
      </c>
      <c r="N139" s="6" t="n">
        <f aca="false">IF(ISNUMBER(SEARCH(","&amp;N$1&amp;",",","&amp;$D139&amp;",")),1,0)</f>
        <v>0</v>
      </c>
    </row>
    <row r="140" customFormat="false" ht="23.85" hidden="false" customHeight="false" outlineLevel="0" collapsed="false">
      <c r="A140" s="2" t="s">
        <v>415</v>
      </c>
      <c r="B140" s="2" t="s">
        <v>425</v>
      </c>
      <c r="C140" s="3" t="s">
        <v>419</v>
      </c>
      <c r="D140" s="4" t="s">
        <v>13</v>
      </c>
      <c r="E140" s="5" t="s">
        <v>420</v>
      </c>
      <c r="F140" s="6" t="n">
        <f aca="false">IF(ISNUMBER(SEARCH(","&amp;F$1&amp;",",","&amp;$D140&amp;",")),1,0)</f>
        <v>0</v>
      </c>
      <c r="G140" s="6" t="n">
        <f aca="false">IF(ISNUMBER(SEARCH(","&amp;G$1&amp;",",","&amp;$D140&amp;",")),1,0)</f>
        <v>0</v>
      </c>
      <c r="H140" s="6" t="n">
        <f aca="false">IF(ISNUMBER(SEARCH(","&amp;H$1&amp;",",","&amp;$D140&amp;",")),1,0)</f>
        <v>0</v>
      </c>
      <c r="I140" s="6" t="n">
        <f aca="false">IF(ISNUMBER(SEARCH(","&amp;I$1&amp;",",","&amp;$D140&amp;",")),1,0)</f>
        <v>0</v>
      </c>
      <c r="J140" s="6" t="n">
        <f aca="false">IF(ISNUMBER(SEARCH(","&amp;J$1&amp;",",","&amp;$D140&amp;",")),1,0)</f>
        <v>0</v>
      </c>
      <c r="K140" s="6" t="n">
        <f aca="false">IF(ISNUMBER(SEARCH(","&amp;K$1&amp;",",","&amp;$D140&amp;",")),1,0)</f>
        <v>0</v>
      </c>
      <c r="L140" s="6" t="n">
        <f aca="false">IF(ISNUMBER(SEARCH(","&amp;L$1&amp;",",","&amp;$D140&amp;",")),1,0)</f>
        <v>0</v>
      </c>
      <c r="M140" s="6" t="n">
        <f aca="false">IF(ISNUMBER(SEARCH(","&amp;M$1&amp;",",","&amp;$D140&amp;",")),1,0)</f>
        <v>0</v>
      </c>
      <c r="N140" s="6" t="n">
        <f aca="false">IF(ISNUMBER(SEARCH(","&amp;N$1&amp;",",","&amp;$D140&amp;",")),1,0)</f>
        <v>1</v>
      </c>
    </row>
    <row r="141" customFormat="false" ht="23.85" hidden="false" customHeight="false" outlineLevel="0" collapsed="false">
      <c r="A141" s="2" t="s">
        <v>415</v>
      </c>
      <c r="B141" s="2" t="s">
        <v>425</v>
      </c>
      <c r="C141" s="3" t="s">
        <v>421</v>
      </c>
      <c r="D141" s="4" t="s">
        <v>13</v>
      </c>
      <c r="E141" s="5" t="s">
        <v>422</v>
      </c>
      <c r="F141" s="6" t="n">
        <f aca="false">IF(ISNUMBER(SEARCH(","&amp;F$1&amp;",",","&amp;$D141&amp;",")),1,0)</f>
        <v>0</v>
      </c>
      <c r="G141" s="6" t="n">
        <f aca="false">IF(ISNUMBER(SEARCH(","&amp;G$1&amp;",",","&amp;$D141&amp;",")),1,0)</f>
        <v>0</v>
      </c>
      <c r="H141" s="6" t="n">
        <f aca="false">IF(ISNUMBER(SEARCH(","&amp;H$1&amp;",",","&amp;$D141&amp;",")),1,0)</f>
        <v>0</v>
      </c>
      <c r="I141" s="6" t="n">
        <f aca="false">IF(ISNUMBER(SEARCH(","&amp;I$1&amp;",",","&amp;$D141&amp;",")),1,0)</f>
        <v>0</v>
      </c>
      <c r="J141" s="6" t="n">
        <f aca="false">IF(ISNUMBER(SEARCH(","&amp;J$1&amp;",",","&amp;$D141&amp;",")),1,0)</f>
        <v>0</v>
      </c>
      <c r="K141" s="6" t="n">
        <f aca="false">IF(ISNUMBER(SEARCH(","&amp;K$1&amp;",",","&amp;$D141&amp;",")),1,0)</f>
        <v>0</v>
      </c>
      <c r="L141" s="6" t="n">
        <f aca="false">IF(ISNUMBER(SEARCH(","&amp;L$1&amp;",",","&amp;$D141&amp;",")),1,0)</f>
        <v>0</v>
      </c>
      <c r="M141" s="6" t="n">
        <f aca="false">IF(ISNUMBER(SEARCH(","&amp;M$1&amp;",",","&amp;$D141&amp;",")),1,0)</f>
        <v>0</v>
      </c>
      <c r="N141" s="6" t="n">
        <f aca="false">IF(ISNUMBER(SEARCH(","&amp;N$1&amp;",",","&amp;$D141&amp;",")),1,0)</f>
        <v>1</v>
      </c>
    </row>
    <row r="142" customFormat="false" ht="23.85" hidden="false" customHeight="false" outlineLevel="0" collapsed="false">
      <c r="A142" s="2" t="s">
        <v>415</v>
      </c>
      <c r="B142" s="2" t="s">
        <v>427</v>
      </c>
      <c r="C142" s="3" t="s">
        <v>417</v>
      </c>
      <c r="D142" s="4" t="s">
        <v>7</v>
      </c>
      <c r="E142" s="5" t="s">
        <v>428</v>
      </c>
      <c r="F142" s="6" t="n">
        <f aca="false">IF(ISNUMBER(SEARCH(","&amp;F$1&amp;",",","&amp;$D142&amp;",")),1,0)</f>
        <v>0</v>
      </c>
      <c r="G142" s="6" t="n">
        <f aca="false">IF(ISNUMBER(SEARCH(","&amp;G$1&amp;",",","&amp;$D142&amp;",")),1,0)</f>
        <v>0</v>
      </c>
      <c r="H142" s="6" t="n">
        <f aca="false">IF(ISNUMBER(SEARCH(","&amp;H$1&amp;",",","&amp;$D142&amp;",")),1,0)</f>
        <v>1</v>
      </c>
      <c r="I142" s="6" t="n">
        <f aca="false">IF(ISNUMBER(SEARCH(","&amp;I$1&amp;",",","&amp;$D142&amp;",")),1,0)</f>
        <v>0</v>
      </c>
      <c r="J142" s="6" t="n">
        <f aca="false">IF(ISNUMBER(SEARCH(","&amp;J$1&amp;",",","&amp;$D142&amp;",")),1,0)</f>
        <v>0</v>
      </c>
      <c r="K142" s="6" t="n">
        <f aca="false">IF(ISNUMBER(SEARCH(","&amp;K$1&amp;",",","&amp;$D142&amp;",")),1,0)</f>
        <v>0</v>
      </c>
      <c r="L142" s="6" t="n">
        <f aca="false">IF(ISNUMBER(SEARCH(","&amp;L$1&amp;",",","&amp;$D142&amp;",")),1,0)</f>
        <v>0</v>
      </c>
      <c r="M142" s="6" t="n">
        <f aca="false">IF(ISNUMBER(SEARCH(","&amp;M$1&amp;",",","&amp;$D142&amp;",")),1,0)</f>
        <v>0</v>
      </c>
      <c r="N142" s="6" t="n">
        <f aca="false">IF(ISNUMBER(SEARCH(","&amp;N$1&amp;",",","&amp;$D142&amp;",")),1,0)</f>
        <v>0</v>
      </c>
    </row>
    <row r="143" customFormat="false" ht="23.85" hidden="false" customHeight="false" outlineLevel="0" collapsed="false">
      <c r="A143" s="2" t="s">
        <v>415</v>
      </c>
      <c r="B143" s="2" t="s">
        <v>427</v>
      </c>
      <c r="C143" s="3" t="s">
        <v>419</v>
      </c>
      <c r="D143" s="4" t="s">
        <v>13</v>
      </c>
      <c r="E143" s="5" t="s">
        <v>429</v>
      </c>
      <c r="F143" s="6" t="n">
        <f aca="false">IF(ISNUMBER(SEARCH(","&amp;F$1&amp;",",","&amp;$D143&amp;",")),1,0)</f>
        <v>0</v>
      </c>
      <c r="G143" s="6" t="n">
        <f aca="false">IF(ISNUMBER(SEARCH(","&amp;G$1&amp;",",","&amp;$D143&amp;",")),1,0)</f>
        <v>0</v>
      </c>
      <c r="H143" s="6" t="n">
        <f aca="false">IF(ISNUMBER(SEARCH(","&amp;H$1&amp;",",","&amp;$D143&amp;",")),1,0)</f>
        <v>0</v>
      </c>
      <c r="I143" s="6" t="n">
        <f aca="false">IF(ISNUMBER(SEARCH(","&amp;I$1&amp;",",","&amp;$D143&amp;",")),1,0)</f>
        <v>0</v>
      </c>
      <c r="J143" s="6" t="n">
        <f aca="false">IF(ISNUMBER(SEARCH(","&amp;J$1&amp;",",","&amp;$D143&amp;",")),1,0)</f>
        <v>0</v>
      </c>
      <c r="K143" s="6" t="n">
        <f aca="false">IF(ISNUMBER(SEARCH(","&amp;K$1&amp;",",","&amp;$D143&amp;",")),1,0)</f>
        <v>0</v>
      </c>
      <c r="L143" s="6" t="n">
        <f aca="false">IF(ISNUMBER(SEARCH(","&amp;L$1&amp;",",","&amp;$D143&amp;",")),1,0)</f>
        <v>0</v>
      </c>
      <c r="M143" s="6" t="n">
        <f aca="false">IF(ISNUMBER(SEARCH(","&amp;M$1&amp;",",","&amp;$D143&amp;",")),1,0)</f>
        <v>0</v>
      </c>
      <c r="N143" s="6" t="n">
        <f aca="false">IF(ISNUMBER(SEARCH(","&amp;N$1&amp;",",","&amp;$D143&amp;",")),1,0)</f>
        <v>1</v>
      </c>
    </row>
    <row r="144" customFormat="false" ht="23.85" hidden="false" customHeight="false" outlineLevel="0" collapsed="false">
      <c r="A144" s="2" t="s">
        <v>415</v>
      </c>
      <c r="B144" s="2" t="s">
        <v>427</v>
      </c>
      <c r="C144" s="3" t="s">
        <v>421</v>
      </c>
      <c r="D144" s="4" t="s">
        <v>13</v>
      </c>
      <c r="E144" s="5" t="s">
        <v>422</v>
      </c>
      <c r="F144" s="6" t="n">
        <f aca="false">IF(ISNUMBER(SEARCH(","&amp;F$1&amp;",",","&amp;$D144&amp;",")),1,0)</f>
        <v>0</v>
      </c>
      <c r="G144" s="6" t="n">
        <f aca="false">IF(ISNUMBER(SEARCH(","&amp;G$1&amp;",",","&amp;$D144&amp;",")),1,0)</f>
        <v>0</v>
      </c>
      <c r="H144" s="6" t="n">
        <f aca="false">IF(ISNUMBER(SEARCH(","&amp;H$1&amp;",",","&amp;$D144&amp;",")),1,0)</f>
        <v>0</v>
      </c>
      <c r="I144" s="6" t="n">
        <f aca="false">IF(ISNUMBER(SEARCH(","&amp;I$1&amp;",",","&amp;$D144&amp;",")),1,0)</f>
        <v>0</v>
      </c>
      <c r="J144" s="6" t="n">
        <f aca="false">IF(ISNUMBER(SEARCH(","&amp;J$1&amp;",",","&amp;$D144&amp;",")),1,0)</f>
        <v>0</v>
      </c>
      <c r="K144" s="6" t="n">
        <f aca="false">IF(ISNUMBER(SEARCH(","&amp;K$1&amp;",",","&amp;$D144&amp;",")),1,0)</f>
        <v>0</v>
      </c>
      <c r="L144" s="6" t="n">
        <f aca="false">IF(ISNUMBER(SEARCH(","&amp;L$1&amp;",",","&amp;$D144&amp;",")),1,0)</f>
        <v>0</v>
      </c>
      <c r="M144" s="6" t="n">
        <f aca="false">IF(ISNUMBER(SEARCH(","&amp;M$1&amp;",",","&amp;$D144&amp;",")),1,0)</f>
        <v>0</v>
      </c>
      <c r="N144" s="6" t="n">
        <f aca="false">IF(ISNUMBER(SEARCH(","&amp;N$1&amp;",",","&amp;$D144&amp;",")),1,0)</f>
        <v>1</v>
      </c>
    </row>
    <row r="145" customFormat="false" ht="23.85" hidden="false" customHeight="false" outlineLevel="0" collapsed="false">
      <c r="A145" s="2" t="s">
        <v>415</v>
      </c>
      <c r="B145" s="2" t="s">
        <v>427</v>
      </c>
      <c r="C145" s="3" t="s">
        <v>430</v>
      </c>
      <c r="D145" s="4" t="s">
        <v>32</v>
      </c>
      <c r="E145" s="5" t="s">
        <v>431</v>
      </c>
      <c r="F145" s="6" t="n">
        <f aca="false">IF(ISNUMBER(SEARCH(","&amp;F$1&amp;",",","&amp;$D145&amp;",")),1,0)</f>
        <v>0</v>
      </c>
      <c r="G145" s="6" t="n">
        <f aca="false">IF(ISNUMBER(SEARCH(","&amp;G$1&amp;",",","&amp;$D145&amp;",")),1,0)</f>
        <v>1</v>
      </c>
      <c r="H145" s="6" t="n">
        <f aca="false">IF(ISNUMBER(SEARCH(","&amp;H$1&amp;",",","&amp;$D145&amp;",")),1,0)</f>
        <v>0</v>
      </c>
      <c r="I145" s="6" t="n">
        <f aca="false">IF(ISNUMBER(SEARCH(","&amp;I$1&amp;",",","&amp;$D145&amp;",")),1,0)</f>
        <v>0</v>
      </c>
      <c r="J145" s="6" t="n">
        <f aca="false">IF(ISNUMBER(SEARCH(","&amp;J$1&amp;",",","&amp;$D145&amp;",")),1,0)</f>
        <v>0</v>
      </c>
      <c r="K145" s="6" t="n">
        <f aca="false">IF(ISNUMBER(SEARCH(","&amp;K$1&amp;",",","&amp;$D145&amp;",")),1,0)</f>
        <v>0</v>
      </c>
      <c r="L145" s="6" t="n">
        <f aca="false">IF(ISNUMBER(SEARCH(","&amp;L$1&amp;",",","&amp;$D145&amp;",")),1,0)</f>
        <v>0</v>
      </c>
      <c r="M145" s="6" t="n">
        <f aca="false">IF(ISNUMBER(SEARCH(","&amp;M$1&amp;",",","&amp;$D145&amp;",")),1,0)</f>
        <v>1</v>
      </c>
      <c r="N145" s="6" t="n">
        <f aca="false">IF(ISNUMBER(SEARCH(","&amp;N$1&amp;",",","&amp;$D145&amp;",")),1,0)</f>
        <v>0</v>
      </c>
    </row>
    <row r="146" customFormat="false" ht="23.85" hidden="false" customHeight="false" outlineLevel="0" collapsed="false">
      <c r="A146" s="2" t="s">
        <v>415</v>
      </c>
      <c r="B146" s="2" t="s">
        <v>427</v>
      </c>
      <c r="C146" s="3" t="s">
        <v>432</v>
      </c>
      <c r="D146" s="4" t="s">
        <v>12</v>
      </c>
      <c r="E146" s="5" t="s">
        <v>433</v>
      </c>
      <c r="F146" s="6" t="n">
        <f aca="false">IF(ISNUMBER(SEARCH(","&amp;F$1&amp;",",","&amp;$D146&amp;",")),1,0)</f>
        <v>0</v>
      </c>
      <c r="G146" s="6" t="n">
        <f aca="false">IF(ISNUMBER(SEARCH(","&amp;G$1&amp;",",","&amp;$D146&amp;",")),1,0)</f>
        <v>0</v>
      </c>
      <c r="H146" s="6" t="n">
        <f aca="false">IF(ISNUMBER(SEARCH(","&amp;H$1&amp;",",","&amp;$D146&amp;",")),1,0)</f>
        <v>0</v>
      </c>
      <c r="I146" s="6" t="n">
        <f aca="false">IF(ISNUMBER(SEARCH(","&amp;I$1&amp;",",","&amp;$D146&amp;",")),1,0)</f>
        <v>0</v>
      </c>
      <c r="J146" s="6" t="n">
        <f aca="false">IF(ISNUMBER(SEARCH(","&amp;J$1&amp;",",","&amp;$D146&amp;",")),1,0)</f>
        <v>0</v>
      </c>
      <c r="K146" s="6" t="n">
        <f aca="false">IF(ISNUMBER(SEARCH(","&amp;K$1&amp;",",","&amp;$D146&amp;",")),1,0)</f>
        <v>0</v>
      </c>
      <c r="L146" s="6" t="n">
        <f aca="false">IF(ISNUMBER(SEARCH(","&amp;L$1&amp;",",","&amp;$D146&amp;",")),1,0)</f>
        <v>0</v>
      </c>
      <c r="M146" s="6" t="n">
        <f aca="false">IF(ISNUMBER(SEARCH(","&amp;M$1&amp;",",","&amp;$D146&amp;",")),1,0)</f>
        <v>1</v>
      </c>
      <c r="N146" s="6" t="n">
        <f aca="false">IF(ISNUMBER(SEARCH(","&amp;N$1&amp;",",","&amp;$D146&amp;",")),1,0)</f>
        <v>0</v>
      </c>
    </row>
    <row r="147" customFormat="false" ht="23.85" hidden="false" customHeight="false" outlineLevel="0" collapsed="false">
      <c r="A147" s="2" t="s">
        <v>434</v>
      </c>
      <c r="B147" s="2" t="s">
        <v>435</v>
      </c>
      <c r="C147" s="3" t="s">
        <v>436</v>
      </c>
      <c r="D147" s="4" t="s">
        <v>32</v>
      </c>
      <c r="E147" s="5" t="s">
        <v>437</v>
      </c>
      <c r="F147" s="6" t="n">
        <f aca="false">IF(ISNUMBER(SEARCH(","&amp;F$1&amp;",",","&amp;$D147&amp;",")),1,0)</f>
        <v>0</v>
      </c>
      <c r="G147" s="6" t="n">
        <f aca="false">IF(ISNUMBER(SEARCH(","&amp;G$1&amp;",",","&amp;$D147&amp;",")),1,0)</f>
        <v>1</v>
      </c>
      <c r="H147" s="6" t="n">
        <f aca="false">IF(ISNUMBER(SEARCH(","&amp;H$1&amp;",",","&amp;$D147&amp;",")),1,0)</f>
        <v>0</v>
      </c>
      <c r="I147" s="6" t="n">
        <f aca="false">IF(ISNUMBER(SEARCH(","&amp;I$1&amp;",",","&amp;$D147&amp;",")),1,0)</f>
        <v>0</v>
      </c>
      <c r="J147" s="6" t="n">
        <f aca="false">IF(ISNUMBER(SEARCH(","&amp;J$1&amp;",",","&amp;$D147&amp;",")),1,0)</f>
        <v>0</v>
      </c>
      <c r="K147" s="6" t="n">
        <f aca="false">IF(ISNUMBER(SEARCH(","&amp;K$1&amp;",",","&amp;$D147&amp;",")),1,0)</f>
        <v>0</v>
      </c>
      <c r="L147" s="6" t="n">
        <f aca="false">IF(ISNUMBER(SEARCH(","&amp;L$1&amp;",",","&amp;$D147&amp;",")),1,0)</f>
        <v>0</v>
      </c>
      <c r="M147" s="6" t="n">
        <f aca="false">IF(ISNUMBER(SEARCH(","&amp;M$1&amp;",",","&amp;$D147&amp;",")),1,0)</f>
        <v>1</v>
      </c>
      <c r="N147" s="6" t="n">
        <f aca="false">IF(ISNUMBER(SEARCH(","&amp;N$1&amp;",",","&amp;$D147&amp;",")),1,0)</f>
        <v>0</v>
      </c>
    </row>
    <row r="148" customFormat="false" ht="23.85" hidden="false" customHeight="false" outlineLevel="0" collapsed="false">
      <c r="A148" s="2" t="s">
        <v>434</v>
      </c>
      <c r="B148" s="2" t="s">
        <v>438</v>
      </c>
      <c r="C148" s="3" t="s">
        <v>439</v>
      </c>
      <c r="D148" s="4" t="s">
        <v>440</v>
      </c>
      <c r="E148" s="5" t="s">
        <v>441</v>
      </c>
      <c r="F148" s="6" t="n">
        <f aca="false">IF(ISNUMBER(SEARCH(","&amp;F$1&amp;",",","&amp;$D148&amp;",")),1,0)</f>
        <v>0</v>
      </c>
      <c r="G148" s="6" t="n">
        <f aca="false">IF(ISNUMBER(SEARCH(","&amp;G$1&amp;",",","&amp;$D148&amp;",")),1,0)</f>
        <v>1</v>
      </c>
      <c r="H148" s="6" t="n">
        <f aca="false">IF(ISNUMBER(SEARCH(","&amp;H$1&amp;",",","&amp;$D148&amp;",")),1,0)</f>
        <v>0</v>
      </c>
      <c r="I148" s="6" t="n">
        <f aca="false">IF(ISNUMBER(SEARCH(","&amp;I$1&amp;",",","&amp;$D148&amp;",")),1,0)</f>
        <v>0</v>
      </c>
      <c r="J148" s="6" t="n">
        <f aca="false">IF(ISNUMBER(SEARCH(","&amp;J$1&amp;",",","&amp;$D148&amp;",")),1,0)</f>
        <v>0</v>
      </c>
      <c r="K148" s="6" t="n">
        <f aca="false">IF(ISNUMBER(SEARCH(","&amp;K$1&amp;",",","&amp;$D148&amp;",")),1,0)</f>
        <v>0</v>
      </c>
      <c r="L148" s="6" t="n">
        <f aca="false">IF(ISNUMBER(SEARCH(","&amp;L$1&amp;",",","&amp;$D148&amp;",")),1,0)</f>
        <v>0</v>
      </c>
      <c r="M148" s="6" t="n">
        <f aca="false">IF(ISNUMBER(SEARCH(","&amp;M$1&amp;",",","&amp;$D148&amp;",")),1,0)</f>
        <v>0</v>
      </c>
      <c r="N148" s="6" t="n">
        <f aca="false">IF(ISNUMBER(SEARCH(","&amp;N$1&amp;",",","&amp;$D148&amp;",")),1,0)</f>
        <v>1</v>
      </c>
    </row>
    <row r="149" customFormat="false" ht="15" hidden="false" customHeight="false" outlineLevel="0" collapsed="false">
      <c r="A149" s="2" t="s">
        <v>434</v>
      </c>
      <c r="B149" s="2" t="s">
        <v>442</v>
      </c>
      <c r="C149" s="3" t="s">
        <v>443</v>
      </c>
      <c r="D149" s="4" t="s">
        <v>32</v>
      </c>
      <c r="E149" s="5" t="s">
        <v>444</v>
      </c>
      <c r="F149" s="6" t="n">
        <f aca="false">IF(ISNUMBER(SEARCH(","&amp;F$1&amp;",",","&amp;$D149&amp;",")),1,0)</f>
        <v>0</v>
      </c>
      <c r="G149" s="6" t="n">
        <f aca="false">IF(ISNUMBER(SEARCH(","&amp;G$1&amp;",",","&amp;$D149&amp;",")),1,0)</f>
        <v>1</v>
      </c>
      <c r="H149" s="6" t="n">
        <f aca="false">IF(ISNUMBER(SEARCH(","&amp;H$1&amp;",",","&amp;$D149&amp;",")),1,0)</f>
        <v>0</v>
      </c>
      <c r="I149" s="6" t="n">
        <f aca="false">IF(ISNUMBER(SEARCH(","&amp;I$1&amp;",",","&amp;$D149&amp;",")),1,0)</f>
        <v>0</v>
      </c>
      <c r="J149" s="6" t="n">
        <f aca="false">IF(ISNUMBER(SEARCH(","&amp;J$1&amp;",",","&amp;$D149&amp;",")),1,0)</f>
        <v>0</v>
      </c>
      <c r="K149" s="6" t="n">
        <f aca="false">IF(ISNUMBER(SEARCH(","&amp;K$1&amp;",",","&amp;$D149&amp;",")),1,0)</f>
        <v>0</v>
      </c>
      <c r="L149" s="6" t="n">
        <f aca="false">IF(ISNUMBER(SEARCH(","&amp;L$1&amp;",",","&amp;$D149&amp;",")),1,0)</f>
        <v>0</v>
      </c>
      <c r="M149" s="6" t="n">
        <f aca="false">IF(ISNUMBER(SEARCH(","&amp;M$1&amp;",",","&amp;$D149&amp;",")),1,0)</f>
        <v>1</v>
      </c>
      <c r="N149" s="6" t="n">
        <f aca="false">IF(ISNUMBER(SEARCH(","&amp;N$1&amp;",",","&amp;$D149&amp;",")),1,0)</f>
        <v>0</v>
      </c>
    </row>
    <row r="150" customFormat="false" ht="15" hidden="false" customHeight="false" outlineLevel="0" collapsed="false">
      <c r="A150" s="2" t="s">
        <v>434</v>
      </c>
      <c r="B150" s="2" t="s">
        <v>445</v>
      </c>
      <c r="C150" s="3" t="s">
        <v>446</v>
      </c>
      <c r="D150" s="4" t="s">
        <v>32</v>
      </c>
      <c r="E150" s="5" t="s">
        <v>447</v>
      </c>
      <c r="F150" s="6" t="n">
        <f aca="false">IF(ISNUMBER(SEARCH(","&amp;F$1&amp;",",","&amp;$D150&amp;",")),1,0)</f>
        <v>0</v>
      </c>
      <c r="G150" s="6" t="n">
        <f aca="false">IF(ISNUMBER(SEARCH(","&amp;G$1&amp;",",","&amp;$D150&amp;",")),1,0)</f>
        <v>1</v>
      </c>
      <c r="H150" s="6" t="n">
        <f aca="false">IF(ISNUMBER(SEARCH(","&amp;H$1&amp;",",","&amp;$D150&amp;",")),1,0)</f>
        <v>0</v>
      </c>
      <c r="I150" s="6" t="n">
        <f aca="false">IF(ISNUMBER(SEARCH(","&amp;I$1&amp;",",","&amp;$D150&amp;",")),1,0)</f>
        <v>0</v>
      </c>
      <c r="J150" s="6" t="n">
        <f aca="false">IF(ISNUMBER(SEARCH(","&amp;J$1&amp;",",","&amp;$D150&amp;",")),1,0)</f>
        <v>0</v>
      </c>
      <c r="K150" s="6" t="n">
        <f aca="false">IF(ISNUMBER(SEARCH(","&amp;K$1&amp;",",","&amp;$D150&amp;",")),1,0)</f>
        <v>0</v>
      </c>
      <c r="L150" s="6" t="n">
        <f aca="false">IF(ISNUMBER(SEARCH(","&amp;L$1&amp;",",","&amp;$D150&amp;",")),1,0)</f>
        <v>0</v>
      </c>
      <c r="M150" s="6" t="n">
        <f aca="false">IF(ISNUMBER(SEARCH(","&amp;M$1&amp;",",","&amp;$D150&amp;",")),1,0)</f>
        <v>1</v>
      </c>
      <c r="N150" s="6" t="n">
        <f aca="false">IF(ISNUMBER(SEARCH(","&amp;N$1&amp;",",","&amp;$D150&amp;",")),1,0)</f>
        <v>0</v>
      </c>
    </row>
    <row r="151" customFormat="false" ht="15" hidden="false" customHeight="false" outlineLevel="0" collapsed="false">
      <c r="A151" s="2" t="s">
        <v>434</v>
      </c>
      <c r="B151" s="2" t="s">
        <v>448</v>
      </c>
      <c r="C151" s="3" t="s">
        <v>449</v>
      </c>
      <c r="D151" s="4" t="s">
        <v>32</v>
      </c>
      <c r="E151" s="5" t="s">
        <v>450</v>
      </c>
      <c r="F151" s="6" t="n">
        <f aca="false">IF(ISNUMBER(SEARCH(","&amp;F$1&amp;",",","&amp;$D151&amp;",")),1,0)</f>
        <v>0</v>
      </c>
      <c r="G151" s="6" t="n">
        <f aca="false">IF(ISNUMBER(SEARCH(","&amp;G$1&amp;",",","&amp;$D151&amp;",")),1,0)</f>
        <v>1</v>
      </c>
      <c r="H151" s="6" t="n">
        <f aca="false">IF(ISNUMBER(SEARCH(","&amp;H$1&amp;",",","&amp;$D151&amp;",")),1,0)</f>
        <v>0</v>
      </c>
      <c r="I151" s="6" t="n">
        <f aca="false">IF(ISNUMBER(SEARCH(","&amp;I$1&amp;",",","&amp;$D151&amp;",")),1,0)</f>
        <v>0</v>
      </c>
      <c r="J151" s="6" t="n">
        <f aca="false">IF(ISNUMBER(SEARCH(","&amp;J$1&amp;",",","&amp;$D151&amp;",")),1,0)</f>
        <v>0</v>
      </c>
      <c r="K151" s="6" t="n">
        <f aca="false">IF(ISNUMBER(SEARCH(","&amp;K$1&amp;",",","&amp;$D151&amp;",")),1,0)</f>
        <v>0</v>
      </c>
      <c r="L151" s="6" t="n">
        <f aca="false">IF(ISNUMBER(SEARCH(","&amp;L$1&amp;",",","&amp;$D151&amp;",")),1,0)</f>
        <v>0</v>
      </c>
      <c r="M151" s="6" t="n">
        <f aca="false">IF(ISNUMBER(SEARCH(","&amp;M$1&amp;",",","&amp;$D151&amp;",")),1,0)</f>
        <v>1</v>
      </c>
      <c r="N151" s="6" t="n">
        <f aca="false">IF(ISNUMBER(SEARCH(","&amp;N$1&amp;",",","&amp;$D151&amp;",")),1,0)</f>
        <v>0</v>
      </c>
    </row>
    <row r="152" customFormat="false" ht="23.85" hidden="false" customHeight="false" outlineLevel="0" collapsed="false">
      <c r="A152" s="2" t="s">
        <v>434</v>
      </c>
      <c r="B152" s="2" t="s">
        <v>451</v>
      </c>
      <c r="C152" s="3" t="s">
        <v>452</v>
      </c>
      <c r="D152" s="4" t="s">
        <v>5</v>
      </c>
      <c r="E152" s="5" t="s">
        <v>453</v>
      </c>
      <c r="F152" s="6" t="n">
        <f aca="false">IF(ISNUMBER(SEARCH(","&amp;F$1&amp;",",","&amp;$D152&amp;",")),1,0)</f>
        <v>1</v>
      </c>
      <c r="G152" s="6" t="n">
        <f aca="false">IF(ISNUMBER(SEARCH(","&amp;G$1&amp;",",","&amp;$D152&amp;",")),1,0)</f>
        <v>0</v>
      </c>
      <c r="H152" s="6" t="n">
        <f aca="false">IF(ISNUMBER(SEARCH(","&amp;H$1&amp;",",","&amp;$D152&amp;",")),1,0)</f>
        <v>0</v>
      </c>
      <c r="I152" s="6" t="n">
        <f aca="false">IF(ISNUMBER(SEARCH(","&amp;I$1&amp;",",","&amp;$D152&amp;",")),1,0)</f>
        <v>0</v>
      </c>
      <c r="J152" s="6" t="n">
        <f aca="false">IF(ISNUMBER(SEARCH(","&amp;J$1&amp;",",","&amp;$D152&amp;",")),1,0)</f>
        <v>0</v>
      </c>
      <c r="K152" s="6" t="n">
        <f aca="false">IF(ISNUMBER(SEARCH(","&amp;K$1&amp;",",","&amp;$D152&amp;",")),1,0)</f>
        <v>0</v>
      </c>
      <c r="L152" s="6" t="n">
        <f aca="false">IF(ISNUMBER(SEARCH(","&amp;L$1&amp;",",","&amp;$D152&amp;",")),1,0)</f>
        <v>0</v>
      </c>
      <c r="M152" s="6" t="n">
        <f aca="false">IF(ISNUMBER(SEARCH(","&amp;M$1&amp;",",","&amp;$D152&amp;",")),1,0)</f>
        <v>0</v>
      </c>
      <c r="N152" s="6" t="n">
        <f aca="false">IF(ISNUMBER(SEARCH(","&amp;N$1&amp;",",","&amp;$D152&amp;",")),1,0)</f>
        <v>0</v>
      </c>
    </row>
    <row r="153" customFormat="false" ht="23.85" hidden="false" customHeight="false" outlineLevel="0" collapsed="false">
      <c r="A153" s="2" t="s">
        <v>434</v>
      </c>
      <c r="B153" s="2" t="s">
        <v>454</v>
      </c>
      <c r="C153" s="3" t="s">
        <v>455</v>
      </c>
      <c r="D153" s="4" t="s">
        <v>6</v>
      </c>
      <c r="E153" s="5" t="s">
        <v>456</v>
      </c>
      <c r="F153" s="6" t="n">
        <f aca="false">IF(ISNUMBER(SEARCH(","&amp;F$1&amp;",",","&amp;$D153&amp;",")),1,0)</f>
        <v>0</v>
      </c>
      <c r="G153" s="6" t="n">
        <f aca="false">IF(ISNUMBER(SEARCH(","&amp;G$1&amp;",",","&amp;$D153&amp;",")),1,0)</f>
        <v>1</v>
      </c>
      <c r="H153" s="6" t="n">
        <f aca="false">IF(ISNUMBER(SEARCH(","&amp;H$1&amp;",",","&amp;$D153&amp;",")),1,0)</f>
        <v>0</v>
      </c>
      <c r="I153" s="6" t="n">
        <f aca="false">IF(ISNUMBER(SEARCH(","&amp;I$1&amp;",",","&amp;$D153&amp;",")),1,0)</f>
        <v>0</v>
      </c>
      <c r="J153" s="6" t="n">
        <f aca="false">IF(ISNUMBER(SEARCH(","&amp;J$1&amp;",",","&amp;$D153&amp;",")),1,0)</f>
        <v>0</v>
      </c>
      <c r="K153" s="6" t="n">
        <f aca="false">IF(ISNUMBER(SEARCH(","&amp;K$1&amp;",",","&amp;$D153&amp;",")),1,0)</f>
        <v>0</v>
      </c>
      <c r="L153" s="6" t="n">
        <f aca="false">IF(ISNUMBER(SEARCH(","&amp;L$1&amp;",",","&amp;$D153&amp;",")),1,0)</f>
        <v>0</v>
      </c>
      <c r="M153" s="6" t="n">
        <f aca="false">IF(ISNUMBER(SEARCH(","&amp;M$1&amp;",",","&amp;$D153&amp;",")),1,0)</f>
        <v>0</v>
      </c>
      <c r="N153" s="6" t="n">
        <f aca="false">IF(ISNUMBER(SEARCH(","&amp;N$1&amp;",",","&amp;$D153&amp;",")),1,0)</f>
        <v>0</v>
      </c>
    </row>
    <row r="154" customFormat="false" ht="23.85" hidden="false" customHeight="false" outlineLevel="0" collapsed="false">
      <c r="A154" s="2" t="s">
        <v>434</v>
      </c>
      <c r="B154" s="2" t="s">
        <v>457</v>
      </c>
      <c r="C154" s="3" t="s">
        <v>458</v>
      </c>
      <c r="D154" s="4" t="s">
        <v>8</v>
      </c>
      <c r="E154" s="5" t="s">
        <v>459</v>
      </c>
      <c r="F154" s="6" t="n">
        <f aca="false">IF(ISNUMBER(SEARCH(","&amp;F$1&amp;",",","&amp;$D154&amp;",")),1,0)</f>
        <v>0</v>
      </c>
      <c r="G154" s="6" t="n">
        <f aca="false">IF(ISNUMBER(SEARCH(","&amp;G$1&amp;",",","&amp;$D154&amp;",")),1,0)</f>
        <v>0</v>
      </c>
      <c r="H154" s="6" t="n">
        <f aca="false">IF(ISNUMBER(SEARCH(","&amp;H$1&amp;",",","&amp;$D154&amp;",")),1,0)</f>
        <v>0</v>
      </c>
      <c r="I154" s="6" t="n">
        <f aca="false">IF(ISNUMBER(SEARCH(","&amp;I$1&amp;",",","&amp;$D154&amp;",")),1,0)</f>
        <v>1</v>
      </c>
      <c r="J154" s="6" t="n">
        <f aca="false">IF(ISNUMBER(SEARCH(","&amp;J$1&amp;",",","&amp;$D154&amp;",")),1,0)</f>
        <v>0</v>
      </c>
      <c r="K154" s="6" t="n">
        <f aca="false">IF(ISNUMBER(SEARCH(","&amp;K$1&amp;",",","&amp;$D154&amp;",")),1,0)</f>
        <v>0</v>
      </c>
      <c r="L154" s="6" t="n">
        <f aca="false">IF(ISNUMBER(SEARCH(","&amp;L$1&amp;",",","&amp;$D154&amp;",")),1,0)</f>
        <v>0</v>
      </c>
      <c r="M154" s="6" t="n">
        <f aca="false">IF(ISNUMBER(SEARCH(","&amp;M$1&amp;",",","&amp;$D154&amp;",")),1,0)</f>
        <v>0</v>
      </c>
      <c r="N154" s="6" t="n">
        <f aca="false">IF(ISNUMBER(SEARCH(","&amp;N$1&amp;",",","&amp;$D154&amp;",")),1,0)</f>
        <v>0</v>
      </c>
    </row>
    <row r="155" customFormat="false" ht="23.85" hidden="false" customHeight="false" outlineLevel="0" collapsed="false">
      <c r="A155" s="2" t="s">
        <v>434</v>
      </c>
      <c r="B155" s="2" t="s">
        <v>460</v>
      </c>
      <c r="C155" s="3" t="s">
        <v>461</v>
      </c>
      <c r="D155" s="4" t="s">
        <v>32</v>
      </c>
      <c r="E155" s="5" t="s">
        <v>462</v>
      </c>
      <c r="F155" s="6" t="n">
        <f aca="false">IF(ISNUMBER(SEARCH(","&amp;F$1&amp;",",","&amp;$D155&amp;",")),1,0)</f>
        <v>0</v>
      </c>
      <c r="G155" s="6" t="n">
        <f aca="false">IF(ISNUMBER(SEARCH(","&amp;G$1&amp;",",","&amp;$D155&amp;",")),1,0)</f>
        <v>1</v>
      </c>
      <c r="H155" s="6" t="n">
        <f aca="false">IF(ISNUMBER(SEARCH(","&amp;H$1&amp;",",","&amp;$D155&amp;",")),1,0)</f>
        <v>0</v>
      </c>
      <c r="I155" s="6" t="n">
        <f aca="false">IF(ISNUMBER(SEARCH(","&amp;I$1&amp;",",","&amp;$D155&amp;",")),1,0)</f>
        <v>0</v>
      </c>
      <c r="J155" s="6" t="n">
        <f aca="false">IF(ISNUMBER(SEARCH(","&amp;J$1&amp;",",","&amp;$D155&amp;",")),1,0)</f>
        <v>0</v>
      </c>
      <c r="K155" s="6" t="n">
        <f aca="false">IF(ISNUMBER(SEARCH(","&amp;K$1&amp;",",","&amp;$D155&amp;",")),1,0)</f>
        <v>0</v>
      </c>
      <c r="L155" s="6" t="n">
        <f aca="false">IF(ISNUMBER(SEARCH(","&amp;L$1&amp;",",","&amp;$D155&amp;",")),1,0)</f>
        <v>0</v>
      </c>
      <c r="M155" s="6" t="n">
        <f aca="false">IF(ISNUMBER(SEARCH(","&amp;M$1&amp;",",","&amp;$D155&amp;",")),1,0)</f>
        <v>1</v>
      </c>
      <c r="N155" s="6" t="n">
        <f aca="false">IF(ISNUMBER(SEARCH(","&amp;N$1&amp;",",","&amp;$D155&amp;",")),1,0)</f>
        <v>0</v>
      </c>
    </row>
    <row r="156" customFormat="false" ht="15" hidden="false" customHeight="false" outlineLevel="0" collapsed="false">
      <c r="A156" s="2" t="s">
        <v>434</v>
      </c>
      <c r="B156" s="2" t="s">
        <v>463</v>
      </c>
      <c r="C156" s="3" t="s">
        <v>464</v>
      </c>
      <c r="D156" s="4" t="s">
        <v>5</v>
      </c>
      <c r="E156" s="5" t="s">
        <v>465</v>
      </c>
      <c r="F156" s="6" t="n">
        <f aca="false">IF(ISNUMBER(SEARCH(","&amp;F$1&amp;",",","&amp;$D156&amp;",")),1,0)</f>
        <v>1</v>
      </c>
      <c r="G156" s="6" t="n">
        <f aca="false">IF(ISNUMBER(SEARCH(","&amp;G$1&amp;",",","&amp;$D156&amp;",")),1,0)</f>
        <v>0</v>
      </c>
      <c r="H156" s="6" t="n">
        <f aca="false">IF(ISNUMBER(SEARCH(","&amp;H$1&amp;",",","&amp;$D156&amp;",")),1,0)</f>
        <v>0</v>
      </c>
      <c r="I156" s="6" t="n">
        <f aca="false">IF(ISNUMBER(SEARCH(","&amp;I$1&amp;",",","&amp;$D156&amp;",")),1,0)</f>
        <v>0</v>
      </c>
      <c r="J156" s="6" t="n">
        <f aca="false">IF(ISNUMBER(SEARCH(","&amp;J$1&amp;",",","&amp;$D156&amp;",")),1,0)</f>
        <v>0</v>
      </c>
      <c r="K156" s="6" t="n">
        <f aca="false">IF(ISNUMBER(SEARCH(","&amp;K$1&amp;",",","&amp;$D156&amp;",")),1,0)</f>
        <v>0</v>
      </c>
      <c r="L156" s="6" t="n">
        <f aca="false">IF(ISNUMBER(SEARCH(","&amp;L$1&amp;",",","&amp;$D156&amp;",")),1,0)</f>
        <v>0</v>
      </c>
      <c r="M156" s="6" t="n">
        <f aca="false">IF(ISNUMBER(SEARCH(","&amp;M$1&amp;",",","&amp;$D156&amp;",")),1,0)</f>
        <v>0</v>
      </c>
      <c r="N156" s="6" t="n">
        <f aca="false">IF(ISNUMBER(SEARCH(","&amp;N$1&amp;",",","&amp;$D156&amp;",")),1,0)</f>
        <v>0</v>
      </c>
    </row>
    <row r="157" customFormat="false" ht="23.85" hidden="false" customHeight="false" outlineLevel="0" collapsed="false">
      <c r="A157" s="2" t="s">
        <v>434</v>
      </c>
      <c r="B157" s="2" t="s">
        <v>466</v>
      </c>
      <c r="C157" s="3" t="s">
        <v>467</v>
      </c>
      <c r="D157" s="4" t="s">
        <v>6</v>
      </c>
      <c r="E157" s="5" t="s">
        <v>468</v>
      </c>
      <c r="F157" s="6" t="n">
        <f aca="false">IF(ISNUMBER(SEARCH(","&amp;F$1&amp;",",","&amp;$D157&amp;",")),1,0)</f>
        <v>0</v>
      </c>
      <c r="G157" s="6" t="n">
        <f aca="false">IF(ISNUMBER(SEARCH(","&amp;G$1&amp;",",","&amp;$D157&amp;",")),1,0)</f>
        <v>1</v>
      </c>
      <c r="H157" s="6" t="n">
        <f aca="false">IF(ISNUMBER(SEARCH(","&amp;H$1&amp;",",","&amp;$D157&amp;",")),1,0)</f>
        <v>0</v>
      </c>
      <c r="I157" s="6" t="n">
        <f aca="false">IF(ISNUMBER(SEARCH(","&amp;I$1&amp;",",","&amp;$D157&amp;",")),1,0)</f>
        <v>0</v>
      </c>
      <c r="J157" s="6" t="n">
        <f aca="false">IF(ISNUMBER(SEARCH(","&amp;J$1&amp;",",","&amp;$D157&amp;",")),1,0)</f>
        <v>0</v>
      </c>
      <c r="K157" s="6" t="n">
        <f aca="false">IF(ISNUMBER(SEARCH(","&amp;K$1&amp;",",","&amp;$D157&amp;",")),1,0)</f>
        <v>0</v>
      </c>
      <c r="L157" s="6" t="n">
        <f aca="false">IF(ISNUMBER(SEARCH(","&amp;L$1&amp;",",","&amp;$D157&amp;",")),1,0)</f>
        <v>0</v>
      </c>
      <c r="M157" s="6" t="n">
        <f aca="false">IF(ISNUMBER(SEARCH(","&amp;M$1&amp;",",","&amp;$D157&amp;",")),1,0)</f>
        <v>0</v>
      </c>
      <c r="N157" s="6" t="n">
        <f aca="false">IF(ISNUMBER(SEARCH(","&amp;N$1&amp;",",","&amp;$D157&amp;",")),1,0)</f>
        <v>0</v>
      </c>
    </row>
    <row r="158" customFormat="false" ht="15" hidden="false" customHeight="false" outlineLevel="0" collapsed="false">
      <c r="A158" s="2" t="s">
        <v>434</v>
      </c>
      <c r="B158" s="2" t="s">
        <v>469</v>
      </c>
      <c r="C158" s="3" t="s">
        <v>470</v>
      </c>
      <c r="D158" s="4" t="s">
        <v>32</v>
      </c>
      <c r="E158" s="5" t="s">
        <v>471</v>
      </c>
      <c r="F158" s="6" t="n">
        <f aca="false">IF(ISNUMBER(SEARCH(","&amp;F$1&amp;",",","&amp;$D158&amp;",")),1,0)</f>
        <v>0</v>
      </c>
      <c r="G158" s="6" t="n">
        <f aca="false">IF(ISNUMBER(SEARCH(","&amp;G$1&amp;",",","&amp;$D158&amp;",")),1,0)</f>
        <v>1</v>
      </c>
      <c r="H158" s="6" t="n">
        <f aca="false">IF(ISNUMBER(SEARCH(","&amp;H$1&amp;",",","&amp;$D158&amp;",")),1,0)</f>
        <v>0</v>
      </c>
      <c r="I158" s="6" t="n">
        <f aca="false">IF(ISNUMBER(SEARCH(","&amp;I$1&amp;",",","&amp;$D158&amp;",")),1,0)</f>
        <v>0</v>
      </c>
      <c r="J158" s="6" t="n">
        <f aca="false">IF(ISNUMBER(SEARCH(","&amp;J$1&amp;",",","&amp;$D158&amp;",")),1,0)</f>
        <v>0</v>
      </c>
      <c r="K158" s="6" t="n">
        <f aca="false">IF(ISNUMBER(SEARCH(","&amp;K$1&amp;",",","&amp;$D158&amp;",")),1,0)</f>
        <v>0</v>
      </c>
      <c r="L158" s="6" t="n">
        <f aca="false">IF(ISNUMBER(SEARCH(","&amp;L$1&amp;",",","&amp;$D158&amp;",")),1,0)</f>
        <v>0</v>
      </c>
      <c r="M158" s="6" t="n">
        <f aca="false">IF(ISNUMBER(SEARCH(","&amp;M$1&amp;",",","&amp;$D158&amp;",")),1,0)</f>
        <v>1</v>
      </c>
      <c r="N158" s="6" t="n">
        <f aca="false">IF(ISNUMBER(SEARCH(","&amp;N$1&amp;",",","&amp;$D158&amp;",")),1,0)</f>
        <v>0</v>
      </c>
    </row>
    <row r="159" customFormat="false" ht="15" hidden="false" customHeight="false" outlineLevel="0" collapsed="false">
      <c r="A159" s="2" t="s">
        <v>434</v>
      </c>
      <c r="B159" s="2" t="s">
        <v>472</v>
      </c>
      <c r="C159" s="3" t="s">
        <v>473</v>
      </c>
      <c r="D159" s="4" t="s">
        <v>5</v>
      </c>
      <c r="E159" s="5" t="s">
        <v>474</v>
      </c>
      <c r="F159" s="6" t="n">
        <f aca="false">IF(ISNUMBER(SEARCH(","&amp;F$1&amp;",",","&amp;$D159&amp;",")),1,0)</f>
        <v>1</v>
      </c>
      <c r="G159" s="6" t="n">
        <f aca="false">IF(ISNUMBER(SEARCH(","&amp;G$1&amp;",",","&amp;$D159&amp;",")),1,0)</f>
        <v>0</v>
      </c>
      <c r="H159" s="6" t="n">
        <f aca="false">IF(ISNUMBER(SEARCH(","&amp;H$1&amp;",",","&amp;$D159&amp;",")),1,0)</f>
        <v>0</v>
      </c>
      <c r="I159" s="6" t="n">
        <f aca="false">IF(ISNUMBER(SEARCH(","&amp;I$1&amp;",",","&amp;$D159&amp;",")),1,0)</f>
        <v>0</v>
      </c>
      <c r="J159" s="6" t="n">
        <f aca="false">IF(ISNUMBER(SEARCH(","&amp;J$1&amp;",",","&amp;$D159&amp;",")),1,0)</f>
        <v>0</v>
      </c>
      <c r="K159" s="6" t="n">
        <f aca="false">IF(ISNUMBER(SEARCH(","&amp;K$1&amp;",",","&amp;$D159&amp;",")),1,0)</f>
        <v>0</v>
      </c>
      <c r="L159" s="6" t="n">
        <f aca="false">IF(ISNUMBER(SEARCH(","&amp;L$1&amp;",",","&amp;$D159&amp;",")),1,0)</f>
        <v>0</v>
      </c>
      <c r="M159" s="6" t="n">
        <f aca="false">IF(ISNUMBER(SEARCH(","&amp;M$1&amp;",",","&amp;$D159&amp;",")),1,0)</f>
        <v>0</v>
      </c>
      <c r="N159" s="6" t="n">
        <f aca="false">IF(ISNUMBER(SEARCH(","&amp;N$1&amp;",",","&amp;$D159&amp;",")),1,0)</f>
        <v>0</v>
      </c>
    </row>
    <row r="160" customFormat="false" ht="23.85" hidden="false" customHeight="false" outlineLevel="0" collapsed="false">
      <c r="A160" s="2" t="s">
        <v>434</v>
      </c>
      <c r="B160" s="2" t="s">
        <v>475</v>
      </c>
      <c r="C160" s="3" t="s">
        <v>476</v>
      </c>
      <c r="D160" s="4" t="s">
        <v>32</v>
      </c>
      <c r="E160" s="5" t="s">
        <v>477</v>
      </c>
      <c r="F160" s="6" t="n">
        <f aca="false">IF(ISNUMBER(SEARCH(","&amp;F$1&amp;",",","&amp;$D160&amp;",")),1,0)</f>
        <v>0</v>
      </c>
      <c r="G160" s="6" t="n">
        <f aca="false">IF(ISNUMBER(SEARCH(","&amp;G$1&amp;",",","&amp;$D160&amp;",")),1,0)</f>
        <v>1</v>
      </c>
      <c r="H160" s="6" t="n">
        <f aca="false">IF(ISNUMBER(SEARCH(","&amp;H$1&amp;",",","&amp;$D160&amp;",")),1,0)</f>
        <v>0</v>
      </c>
      <c r="I160" s="6" t="n">
        <f aca="false">IF(ISNUMBER(SEARCH(","&amp;I$1&amp;",",","&amp;$D160&amp;",")),1,0)</f>
        <v>0</v>
      </c>
      <c r="J160" s="6" t="n">
        <f aca="false">IF(ISNUMBER(SEARCH(","&amp;J$1&amp;",",","&amp;$D160&amp;",")),1,0)</f>
        <v>0</v>
      </c>
      <c r="K160" s="6" t="n">
        <f aca="false">IF(ISNUMBER(SEARCH(","&amp;K$1&amp;",",","&amp;$D160&amp;",")),1,0)</f>
        <v>0</v>
      </c>
      <c r="L160" s="6" t="n">
        <f aca="false">IF(ISNUMBER(SEARCH(","&amp;L$1&amp;",",","&amp;$D160&amp;",")),1,0)</f>
        <v>0</v>
      </c>
      <c r="M160" s="6" t="n">
        <f aca="false">IF(ISNUMBER(SEARCH(","&amp;M$1&amp;",",","&amp;$D160&amp;",")),1,0)</f>
        <v>1</v>
      </c>
      <c r="N160" s="6" t="n">
        <f aca="false">IF(ISNUMBER(SEARCH(","&amp;N$1&amp;",",","&amp;$D160&amp;",")),1,0)</f>
        <v>0</v>
      </c>
    </row>
    <row r="161" customFormat="false" ht="15" hidden="false" customHeight="false" outlineLevel="0" collapsed="false">
      <c r="A161" s="2" t="s">
        <v>434</v>
      </c>
      <c r="B161" s="2" t="s">
        <v>478</v>
      </c>
      <c r="C161" s="3" t="s">
        <v>479</v>
      </c>
      <c r="D161" s="4" t="s">
        <v>5</v>
      </c>
      <c r="E161" s="5" t="s">
        <v>480</v>
      </c>
      <c r="F161" s="6" t="n">
        <f aca="false">IF(ISNUMBER(SEARCH(","&amp;F$1&amp;",",","&amp;$D161&amp;",")),1,0)</f>
        <v>1</v>
      </c>
      <c r="G161" s="6" t="n">
        <f aca="false">IF(ISNUMBER(SEARCH(","&amp;G$1&amp;",",","&amp;$D161&amp;",")),1,0)</f>
        <v>0</v>
      </c>
      <c r="H161" s="6" t="n">
        <f aca="false">IF(ISNUMBER(SEARCH(","&amp;H$1&amp;",",","&amp;$D161&amp;",")),1,0)</f>
        <v>0</v>
      </c>
      <c r="I161" s="6" t="n">
        <f aca="false">IF(ISNUMBER(SEARCH(","&amp;I$1&amp;",",","&amp;$D161&amp;",")),1,0)</f>
        <v>0</v>
      </c>
      <c r="J161" s="6" t="n">
        <f aca="false">IF(ISNUMBER(SEARCH(","&amp;J$1&amp;",",","&amp;$D161&amp;",")),1,0)</f>
        <v>0</v>
      </c>
      <c r="K161" s="6" t="n">
        <f aca="false">IF(ISNUMBER(SEARCH(","&amp;K$1&amp;",",","&amp;$D161&amp;",")),1,0)</f>
        <v>0</v>
      </c>
      <c r="L161" s="6" t="n">
        <f aca="false">IF(ISNUMBER(SEARCH(","&amp;L$1&amp;",",","&amp;$D161&amp;",")),1,0)</f>
        <v>0</v>
      </c>
      <c r="M161" s="6" t="n">
        <f aca="false">IF(ISNUMBER(SEARCH(","&amp;M$1&amp;",",","&amp;$D161&amp;",")),1,0)</f>
        <v>0</v>
      </c>
      <c r="N161" s="6" t="n">
        <f aca="false">IF(ISNUMBER(SEARCH(","&amp;N$1&amp;",",","&amp;$D161&amp;",")),1,0)</f>
        <v>0</v>
      </c>
    </row>
    <row r="162" customFormat="false" ht="23.85" hidden="false" customHeight="false" outlineLevel="0" collapsed="false">
      <c r="A162" s="2" t="s">
        <v>434</v>
      </c>
      <c r="B162" s="2" t="s">
        <v>481</v>
      </c>
      <c r="C162" s="3" t="s">
        <v>482</v>
      </c>
      <c r="D162" s="4" t="s">
        <v>32</v>
      </c>
      <c r="E162" s="5" t="s">
        <v>483</v>
      </c>
      <c r="F162" s="6" t="n">
        <f aca="false">IF(ISNUMBER(SEARCH(","&amp;F$1&amp;",",","&amp;$D162&amp;",")),1,0)</f>
        <v>0</v>
      </c>
      <c r="G162" s="6" t="n">
        <f aca="false">IF(ISNUMBER(SEARCH(","&amp;G$1&amp;",",","&amp;$D162&amp;",")),1,0)</f>
        <v>1</v>
      </c>
      <c r="H162" s="6" t="n">
        <f aca="false">IF(ISNUMBER(SEARCH(","&amp;H$1&amp;",",","&amp;$D162&amp;",")),1,0)</f>
        <v>0</v>
      </c>
      <c r="I162" s="6" t="n">
        <f aca="false">IF(ISNUMBER(SEARCH(","&amp;I$1&amp;",",","&amp;$D162&amp;",")),1,0)</f>
        <v>0</v>
      </c>
      <c r="J162" s="6" t="n">
        <f aca="false">IF(ISNUMBER(SEARCH(","&amp;J$1&amp;",",","&amp;$D162&amp;",")),1,0)</f>
        <v>0</v>
      </c>
      <c r="K162" s="6" t="n">
        <f aca="false">IF(ISNUMBER(SEARCH(","&amp;K$1&amp;",",","&amp;$D162&amp;",")),1,0)</f>
        <v>0</v>
      </c>
      <c r="L162" s="6" t="n">
        <f aca="false">IF(ISNUMBER(SEARCH(","&amp;L$1&amp;",",","&amp;$D162&amp;",")),1,0)</f>
        <v>0</v>
      </c>
      <c r="M162" s="6" t="n">
        <f aca="false">IF(ISNUMBER(SEARCH(","&amp;M$1&amp;",",","&amp;$D162&amp;",")),1,0)</f>
        <v>1</v>
      </c>
      <c r="N162" s="6" t="n">
        <f aca="false">IF(ISNUMBER(SEARCH(","&amp;N$1&amp;",",","&amp;$D162&amp;",")),1,0)</f>
        <v>0</v>
      </c>
    </row>
    <row r="163" customFormat="false" ht="35.05" hidden="false" customHeight="false" outlineLevel="0" collapsed="false">
      <c r="A163" s="2" t="s">
        <v>434</v>
      </c>
      <c r="B163" s="2" t="s">
        <v>484</v>
      </c>
      <c r="C163" s="3" t="s">
        <v>485</v>
      </c>
      <c r="D163" s="4" t="s">
        <v>32</v>
      </c>
      <c r="E163" s="5" t="s">
        <v>486</v>
      </c>
      <c r="F163" s="6" t="n">
        <f aca="false">IF(ISNUMBER(SEARCH(","&amp;F$1&amp;",",","&amp;$D163&amp;",")),1,0)</f>
        <v>0</v>
      </c>
      <c r="G163" s="6" t="n">
        <f aca="false">IF(ISNUMBER(SEARCH(","&amp;G$1&amp;",",","&amp;$D163&amp;",")),1,0)</f>
        <v>1</v>
      </c>
      <c r="H163" s="6" t="n">
        <f aca="false">IF(ISNUMBER(SEARCH(","&amp;H$1&amp;",",","&amp;$D163&amp;",")),1,0)</f>
        <v>0</v>
      </c>
      <c r="I163" s="6" t="n">
        <f aca="false">IF(ISNUMBER(SEARCH(","&amp;I$1&amp;",",","&amp;$D163&amp;",")),1,0)</f>
        <v>0</v>
      </c>
      <c r="J163" s="6" t="n">
        <f aca="false">IF(ISNUMBER(SEARCH(","&amp;J$1&amp;",",","&amp;$D163&amp;",")),1,0)</f>
        <v>0</v>
      </c>
      <c r="K163" s="6" t="n">
        <f aca="false">IF(ISNUMBER(SEARCH(","&amp;K$1&amp;",",","&amp;$D163&amp;",")),1,0)</f>
        <v>0</v>
      </c>
      <c r="L163" s="6" t="n">
        <f aca="false">IF(ISNUMBER(SEARCH(","&amp;L$1&amp;",",","&amp;$D163&amp;",")),1,0)</f>
        <v>0</v>
      </c>
      <c r="M163" s="6" t="n">
        <f aca="false">IF(ISNUMBER(SEARCH(","&amp;M$1&amp;",",","&amp;$D163&amp;",")),1,0)</f>
        <v>1</v>
      </c>
      <c r="N163" s="6" t="n">
        <f aca="false">IF(ISNUMBER(SEARCH(","&amp;N$1&amp;",",","&amp;$D163&amp;",")),1,0)</f>
        <v>0</v>
      </c>
    </row>
    <row r="164" customFormat="false" ht="15" hidden="false" customHeight="false" outlineLevel="0" collapsed="false">
      <c r="A164" s="2" t="s">
        <v>434</v>
      </c>
      <c r="B164" s="2" t="s">
        <v>487</v>
      </c>
      <c r="C164" s="3" t="s">
        <v>488</v>
      </c>
      <c r="D164" s="4" t="s">
        <v>5</v>
      </c>
      <c r="E164" s="5" t="s">
        <v>489</v>
      </c>
      <c r="F164" s="6" t="n">
        <f aca="false">IF(ISNUMBER(SEARCH(","&amp;F$1&amp;",",","&amp;$D164&amp;",")),1,0)</f>
        <v>1</v>
      </c>
      <c r="G164" s="6" t="n">
        <f aca="false">IF(ISNUMBER(SEARCH(","&amp;G$1&amp;",",","&amp;$D164&amp;",")),1,0)</f>
        <v>0</v>
      </c>
      <c r="H164" s="6" t="n">
        <f aca="false">IF(ISNUMBER(SEARCH(","&amp;H$1&amp;",",","&amp;$D164&amp;",")),1,0)</f>
        <v>0</v>
      </c>
      <c r="I164" s="6" t="n">
        <f aca="false">IF(ISNUMBER(SEARCH(","&amp;I$1&amp;",",","&amp;$D164&amp;",")),1,0)</f>
        <v>0</v>
      </c>
      <c r="J164" s="6" t="n">
        <f aca="false">IF(ISNUMBER(SEARCH(","&amp;J$1&amp;",",","&amp;$D164&amp;",")),1,0)</f>
        <v>0</v>
      </c>
      <c r="K164" s="6" t="n">
        <f aca="false">IF(ISNUMBER(SEARCH(","&amp;K$1&amp;",",","&amp;$D164&amp;",")),1,0)</f>
        <v>0</v>
      </c>
      <c r="L164" s="6" t="n">
        <f aca="false">IF(ISNUMBER(SEARCH(","&amp;L$1&amp;",",","&amp;$D164&amp;",")),1,0)</f>
        <v>0</v>
      </c>
      <c r="M164" s="6" t="n">
        <f aca="false">IF(ISNUMBER(SEARCH(","&amp;M$1&amp;",",","&amp;$D164&amp;",")),1,0)</f>
        <v>0</v>
      </c>
      <c r="N164" s="6" t="n">
        <f aca="false">IF(ISNUMBER(SEARCH(","&amp;N$1&amp;",",","&amp;$D164&amp;",")),1,0)</f>
        <v>0</v>
      </c>
    </row>
    <row r="165" customFormat="false" ht="23.85" hidden="false" customHeight="false" outlineLevel="0" collapsed="false">
      <c r="A165" s="2" t="s">
        <v>490</v>
      </c>
      <c r="B165" s="2" t="s">
        <v>491</v>
      </c>
      <c r="C165" s="3" t="s">
        <v>492</v>
      </c>
      <c r="D165" s="4" t="s">
        <v>5</v>
      </c>
      <c r="E165" s="5" t="s">
        <v>493</v>
      </c>
      <c r="F165" s="6" t="n">
        <f aca="false">IF(ISNUMBER(SEARCH(","&amp;F$1&amp;",",","&amp;$D165&amp;",")),1,0)</f>
        <v>1</v>
      </c>
      <c r="G165" s="6" t="n">
        <f aca="false">IF(ISNUMBER(SEARCH(","&amp;G$1&amp;",",","&amp;$D165&amp;",")),1,0)</f>
        <v>0</v>
      </c>
      <c r="H165" s="6" t="n">
        <f aca="false">IF(ISNUMBER(SEARCH(","&amp;H$1&amp;",",","&amp;$D165&amp;",")),1,0)</f>
        <v>0</v>
      </c>
      <c r="I165" s="6" t="n">
        <f aca="false">IF(ISNUMBER(SEARCH(","&amp;I$1&amp;",",","&amp;$D165&amp;",")),1,0)</f>
        <v>0</v>
      </c>
      <c r="J165" s="6" t="n">
        <f aca="false">IF(ISNUMBER(SEARCH(","&amp;J$1&amp;",",","&amp;$D165&amp;",")),1,0)</f>
        <v>0</v>
      </c>
      <c r="K165" s="6" t="n">
        <f aca="false">IF(ISNUMBER(SEARCH(","&amp;K$1&amp;",",","&amp;$D165&amp;",")),1,0)</f>
        <v>0</v>
      </c>
      <c r="L165" s="6" t="n">
        <f aca="false">IF(ISNUMBER(SEARCH(","&amp;L$1&amp;",",","&amp;$D165&amp;",")),1,0)</f>
        <v>0</v>
      </c>
      <c r="M165" s="6" t="n">
        <f aca="false">IF(ISNUMBER(SEARCH(","&amp;M$1&amp;",",","&amp;$D165&amp;",")),1,0)</f>
        <v>0</v>
      </c>
      <c r="N165" s="6" t="n">
        <f aca="false">IF(ISNUMBER(SEARCH(","&amp;N$1&amp;",",","&amp;$D165&amp;",")),1,0)</f>
        <v>0</v>
      </c>
    </row>
    <row r="166" customFormat="false" ht="15" hidden="false" customHeight="false" outlineLevel="0" collapsed="false">
      <c r="A166" s="2" t="s">
        <v>490</v>
      </c>
      <c r="B166" s="2" t="s">
        <v>494</v>
      </c>
      <c r="C166" s="3" t="s">
        <v>495</v>
      </c>
      <c r="D166" s="4" t="s">
        <v>6</v>
      </c>
      <c r="E166" s="5" t="s">
        <v>496</v>
      </c>
      <c r="F166" s="6" t="n">
        <f aca="false">IF(ISNUMBER(SEARCH(","&amp;F$1&amp;",",","&amp;$D166&amp;",")),1,0)</f>
        <v>0</v>
      </c>
      <c r="G166" s="6" t="n">
        <f aca="false">IF(ISNUMBER(SEARCH(","&amp;G$1&amp;",",","&amp;$D166&amp;",")),1,0)</f>
        <v>1</v>
      </c>
      <c r="H166" s="6" t="n">
        <f aca="false">IF(ISNUMBER(SEARCH(","&amp;H$1&amp;",",","&amp;$D166&amp;",")),1,0)</f>
        <v>0</v>
      </c>
      <c r="I166" s="6" t="n">
        <f aca="false">IF(ISNUMBER(SEARCH(","&amp;I$1&amp;",",","&amp;$D166&amp;",")),1,0)</f>
        <v>0</v>
      </c>
      <c r="J166" s="6" t="n">
        <f aca="false">IF(ISNUMBER(SEARCH(","&amp;J$1&amp;",",","&amp;$D166&amp;",")),1,0)</f>
        <v>0</v>
      </c>
      <c r="K166" s="6" t="n">
        <f aca="false">IF(ISNUMBER(SEARCH(","&amp;K$1&amp;",",","&amp;$D166&amp;",")),1,0)</f>
        <v>0</v>
      </c>
      <c r="L166" s="6" t="n">
        <f aca="false">IF(ISNUMBER(SEARCH(","&amp;L$1&amp;",",","&amp;$D166&amp;",")),1,0)</f>
        <v>0</v>
      </c>
      <c r="M166" s="6" t="n">
        <f aca="false">IF(ISNUMBER(SEARCH(","&amp;M$1&amp;",",","&amp;$D166&amp;",")),1,0)</f>
        <v>0</v>
      </c>
      <c r="N166" s="6" t="n">
        <f aca="false">IF(ISNUMBER(SEARCH(","&amp;N$1&amp;",",","&amp;$D166&amp;",")),1,0)</f>
        <v>0</v>
      </c>
    </row>
    <row r="167" customFormat="false" ht="15" hidden="false" customHeight="false" outlineLevel="0" collapsed="false">
      <c r="A167" s="2" t="s">
        <v>490</v>
      </c>
      <c r="B167" s="2" t="s">
        <v>497</v>
      </c>
      <c r="C167" s="3" t="s">
        <v>498</v>
      </c>
      <c r="D167" s="4" t="s">
        <v>5</v>
      </c>
      <c r="E167" s="5" t="s">
        <v>499</v>
      </c>
      <c r="F167" s="6" t="n">
        <f aca="false">IF(ISNUMBER(SEARCH(","&amp;F$1&amp;",",","&amp;$D167&amp;",")),1,0)</f>
        <v>1</v>
      </c>
      <c r="G167" s="6" t="n">
        <f aca="false">IF(ISNUMBER(SEARCH(","&amp;G$1&amp;",",","&amp;$D167&amp;",")),1,0)</f>
        <v>0</v>
      </c>
      <c r="H167" s="6" t="n">
        <f aca="false">IF(ISNUMBER(SEARCH(","&amp;H$1&amp;",",","&amp;$D167&amp;",")),1,0)</f>
        <v>0</v>
      </c>
      <c r="I167" s="6" t="n">
        <f aca="false">IF(ISNUMBER(SEARCH(","&amp;I$1&amp;",",","&amp;$D167&amp;",")),1,0)</f>
        <v>0</v>
      </c>
      <c r="J167" s="6" t="n">
        <f aca="false">IF(ISNUMBER(SEARCH(","&amp;J$1&amp;",",","&amp;$D167&amp;",")),1,0)</f>
        <v>0</v>
      </c>
      <c r="K167" s="6" t="n">
        <f aca="false">IF(ISNUMBER(SEARCH(","&amp;K$1&amp;",",","&amp;$D167&amp;",")),1,0)</f>
        <v>0</v>
      </c>
      <c r="L167" s="6" t="n">
        <f aca="false">IF(ISNUMBER(SEARCH(","&amp;L$1&amp;",",","&amp;$D167&amp;",")),1,0)</f>
        <v>0</v>
      </c>
      <c r="M167" s="6" t="n">
        <f aca="false">IF(ISNUMBER(SEARCH(","&amp;M$1&amp;",",","&amp;$D167&amp;",")),1,0)</f>
        <v>0</v>
      </c>
      <c r="N167" s="6" t="n">
        <f aca="false">IF(ISNUMBER(SEARCH(","&amp;N$1&amp;",",","&amp;$D167&amp;",")),1,0)</f>
        <v>0</v>
      </c>
    </row>
    <row r="168" customFormat="false" ht="15" hidden="false" customHeight="false" outlineLevel="0" collapsed="false">
      <c r="A168" s="2" t="s">
        <v>490</v>
      </c>
      <c r="B168" s="2" t="s">
        <v>500</v>
      </c>
      <c r="C168" s="3" t="s">
        <v>501</v>
      </c>
      <c r="D168" s="4" t="s">
        <v>6</v>
      </c>
      <c r="E168" s="5" t="s">
        <v>502</v>
      </c>
      <c r="F168" s="6" t="n">
        <f aca="false">IF(ISNUMBER(SEARCH(","&amp;F$1&amp;",",","&amp;$D168&amp;",")),1,0)</f>
        <v>0</v>
      </c>
      <c r="G168" s="6" t="n">
        <f aca="false">IF(ISNUMBER(SEARCH(","&amp;G$1&amp;",",","&amp;$D168&amp;",")),1,0)</f>
        <v>1</v>
      </c>
      <c r="H168" s="6" t="n">
        <f aca="false">IF(ISNUMBER(SEARCH(","&amp;H$1&amp;",",","&amp;$D168&amp;",")),1,0)</f>
        <v>0</v>
      </c>
      <c r="I168" s="6" t="n">
        <f aca="false">IF(ISNUMBER(SEARCH(","&amp;I$1&amp;",",","&amp;$D168&amp;",")),1,0)</f>
        <v>0</v>
      </c>
      <c r="J168" s="6" t="n">
        <f aca="false">IF(ISNUMBER(SEARCH(","&amp;J$1&amp;",",","&amp;$D168&amp;",")),1,0)</f>
        <v>0</v>
      </c>
      <c r="K168" s="6" t="n">
        <f aca="false">IF(ISNUMBER(SEARCH(","&amp;K$1&amp;",",","&amp;$D168&amp;",")),1,0)</f>
        <v>0</v>
      </c>
      <c r="L168" s="6" t="n">
        <f aca="false">IF(ISNUMBER(SEARCH(","&amp;L$1&amp;",",","&amp;$D168&amp;",")),1,0)</f>
        <v>0</v>
      </c>
      <c r="M168" s="6" t="n">
        <f aca="false">IF(ISNUMBER(SEARCH(","&amp;M$1&amp;",",","&amp;$D168&amp;",")),1,0)</f>
        <v>0</v>
      </c>
      <c r="N168" s="6" t="n">
        <f aca="false">IF(ISNUMBER(SEARCH(","&amp;N$1&amp;",",","&amp;$D168&amp;",")),1,0)</f>
        <v>0</v>
      </c>
    </row>
    <row r="169" customFormat="false" ht="23.85" hidden="false" customHeight="false" outlineLevel="0" collapsed="false">
      <c r="A169" s="2" t="s">
        <v>490</v>
      </c>
      <c r="B169" s="2" t="s">
        <v>503</v>
      </c>
      <c r="C169" s="3" t="s">
        <v>504</v>
      </c>
      <c r="D169" s="4" t="s">
        <v>5</v>
      </c>
      <c r="E169" s="5" t="s">
        <v>505</v>
      </c>
      <c r="F169" s="6" t="n">
        <f aca="false">IF(ISNUMBER(SEARCH(","&amp;F$1&amp;",",","&amp;$D169&amp;",")),1,0)</f>
        <v>1</v>
      </c>
      <c r="G169" s="6" t="n">
        <f aca="false">IF(ISNUMBER(SEARCH(","&amp;G$1&amp;",",","&amp;$D169&amp;",")),1,0)</f>
        <v>0</v>
      </c>
      <c r="H169" s="6" t="n">
        <f aca="false">IF(ISNUMBER(SEARCH(","&amp;H$1&amp;",",","&amp;$D169&amp;",")),1,0)</f>
        <v>0</v>
      </c>
      <c r="I169" s="6" t="n">
        <f aca="false">IF(ISNUMBER(SEARCH(","&amp;I$1&amp;",",","&amp;$D169&amp;",")),1,0)</f>
        <v>0</v>
      </c>
      <c r="J169" s="6" t="n">
        <f aca="false">IF(ISNUMBER(SEARCH(","&amp;J$1&amp;",",","&amp;$D169&amp;",")),1,0)</f>
        <v>0</v>
      </c>
      <c r="K169" s="6" t="n">
        <f aca="false">IF(ISNUMBER(SEARCH(","&amp;K$1&amp;",",","&amp;$D169&amp;",")),1,0)</f>
        <v>0</v>
      </c>
      <c r="L169" s="6" t="n">
        <f aca="false">IF(ISNUMBER(SEARCH(","&amp;L$1&amp;",",","&amp;$D169&amp;",")),1,0)</f>
        <v>0</v>
      </c>
      <c r="M169" s="6" t="n">
        <f aca="false">IF(ISNUMBER(SEARCH(","&amp;M$1&amp;",",","&amp;$D169&amp;",")),1,0)</f>
        <v>0</v>
      </c>
      <c r="N169" s="6" t="n">
        <f aca="false">IF(ISNUMBER(SEARCH(","&amp;N$1&amp;",",","&amp;$D169&amp;",")),1,0)</f>
        <v>0</v>
      </c>
    </row>
    <row r="170" customFormat="false" ht="23.85" hidden="false" customHeight="false" outlineLevel="0" collapsed="false">
      <c r="A170" s="2" t="s">
        <v>490</v>
      </c>
      <c r="B170" s="2" t="s">
        <v>506</v>
      </c>
      <c r="C170" s="3" t="s">
        <v>507</v>
      </c>
      <c r="D170" s="4" t="s">
        <v>5</v>
      </c>
      <c r="E170" s="5" t="s">
        <v>508</v>
      </c>
      <c r="F170" s="6" t="n">
        <f aca="false">IF(ISNUMBER(SEARCH(","&amp;F$1&amp;",",","&amp;$D170&amp;",")),1,0)</f>
        <v>1</v>
      </c>
      <c r="G170" s="6" t="n">
        <f aca="false">IF(ISNUMBER(SEARCH(","&amp;G$1&amp;",",","&amp;$D170&amp;",")),1,0)</f>
        <v>0</v>
      </c>
      <c r="H170" s="6" t="n">
        <f aca="false">IF(ISNUMBER(SEARCH(","&amp;H$1&amp;",",","&amp;$D170&amp;",")),1,0)</f>
        <v>0</v>
      </c>
      <c r="I170" s="6" t="n">
        <f aca="false">IF(ISNUMBER(SEARCH(","&amp;I$1&amp;",",","&amp;$D170&amp;",")),1,0)</f>
        <v>0</v>
      </c>
      <c r="J170" s="6" t="n">
        <f aca="false">IF(ISNUMBER(SEARCH(","&amp;J$1&amp;",",","&amp;$D170&amp;",")),1,0)</f>
        <v>0</v>
      </c>
      <c r="K170" s="6" t="n">
        <f aca="false">IF(ISNUMBER(SEARCH(","&amp;K$1&amp;",",","&amp;$D170&amp;",")),1,0)</f>
        <v>0</v>
      </c>
      <c r="L170" s="6" t="n">
        <f aca="false">IF(ISNUMBER(SEARCH(","&amp;L$1&amp;",",","&amp;$D170&amp;",")),1,0)</f>
        <v>0</v>
      </c>
      <c r="M170" s="6" t="n">
        <f aca="false">IF(ISNUMBER(SEARCH(","&amp;M$1&amp;",",","&amp;$D170&amp;",")),1,0)</f>
        <v>0</v>
      </c>
      <c r="N170" s="6" t="n">
        <f aca="false">IF(ISNUMBER(SEARCH(","&amp;N$1&amp;",",","&amp;$D170&amp;",")),1,0)</f>
        <v>0</v>
      </c>
    </row>
    <row r="171" customFormat="false" ht="23.85" hidden="false" customHeight="false" outlineLevel="0" collapsed="false">
      <c r="A171" s="2" t="s">
        <v>490</v>
      </c>
      <c r="B171" s="2" t="s">
        <v>509</v>
      </c>
      <c r="C171" s="3" t="s">
        <v>510</v>
      </c>
      <c r="D171" s="4" t="s">
        <v>5</v>
      </c>
      <c r="E171" s="5" t="s">
        <v>511</v>
      </c>
      <c r="F171" s="6" t="n">
        <f aca="false">IF(ISNUMBER(SEARCH(","&amp;F$1&amp;",",","&amp;$D171&amp;",")),1,0)</f>
        <v>1</v>
      </c>
      <c r="G171" s="6" t="n">
        <f aca="false">IF(ISNUMBER(SEARCH(","&amp;G$1&amp;",",","&amp;$D171&amp;",")),1,0)</f>
        <v>0</v>
      </c>
      <c r="H171" s="6" t="n">
        <f aca="false">IF(ISNUMBER(SEARCH(","&amp;H$1&amp;",",","&amp;$D171&amp;",")),1,0)</f>
        <v>0</v>
      </c>
      <c r="I171" s="6" t="n">
        <f aca="false">IF(ISNUMBER(SEARCH(","&amp;I$1&amp;",",","&amp;$D171&amp;",")),1,0)</f>
        <v>0</v>
      </c>
      <c r="J171" s="6" t="n">
        <f aca="false">IF(ISNUMBER(SEARCH(","&amp;J$1&amp;",",","&amp;$D171&amp;",")),1,0)</f>
        <v>0</v>
      </c>
      <c r="K171" s="6" t="n">
        <f aca="false">IF(ISNUMBER(SEARCH(","&amp;K$1&amp;",",","&amp;$D171&amp;",")),1,0)</f>
        <v>0</v>
      </c>
      <c r="L171" s="6" t="n">
        <f aca="false">IF(ISNUMBER(SEARCH(","&amp;L$1&amp;",",","&amp;$D171&amp;",")),1,0)</f>
        <v>0</v>
      </c>
      <c r="M171" s="6" t="n">
        <f aca="false">IF(ISNUMBER(SEARCH(","&amp;M$1&amp;",",","&amp;$D171&amp;",")),1,0)</f>
        <v>0</v>
      </c>
      <c r="N171" s="6" t="n">
        <f aca="false">IF(ISNUMBER(SEARCH(","&amp;N$1&amp;",",","&amp;$D171&amp;",")),1,0)</f>
        <v>0</v>
      </c>
    </row>
    <row r="172" customFormat="false" ht="23.85" hidden="false" customHeight="false" outlineLevel="0" collapsed="false">
      <c r="A172" s="2" t="s">
        <v>490</v>
      </c>
      <c r="B172" s="2" t="s">
        <v>512</v>
      </c>
      <c r="C172" s="3" t="s">
        <v>513</v>
      </c>
      <c r="D172" s="4" t="s">
        <v>7</v>
      </c>
      <c r="E172" s="5" t="s">
        <v>514</v>
      </c>
      <c r="F172" s="6" t="n">
        <f aca="false">IF(ISNUMBER(SEARCH(","&amp;F$1&amp;",",","&amp;$D172&amp;",")),1,0)</f>
        <v>0</v>
      </c>
      <c r="G172" s="6" t="n">
        <f aca="false">IF(ISNUMBER(SEARCH(","&amp;G$1&amp;",",","&amp;$D172&amp;",")),1,0)</f>
        <v>0</v>
      </c>
      <c r="H172" s="6" t="n">
        <f aca="false">IF(ISNUMBER(SEARCH(","&amp;H$1&amp;",",","&amp;$D172&amp;",")),1,0)</f>
        <v>1</v>
      </c>
      <c r="I172" s="6" t="n">
        <f aca="false">IF(ISNUMBER(SEARCH(","&amp;I$1&amp;",",","&amp;$D172&amp;",")),1,0)</f>
        <v>0</v>
      </c>
      <c r="J172" s="6" t="n">
        <f aca="false">IF(ISNUMBER(SEARCH(","&amp;J$1&amp;",",","&amp;$D172&amp;",")),1,0)</f>
        <v>0</v>
      </c>
      <c r="K172" s="6" t="n">
        <f aca="false">IF(ISNUMBER(SEARCH(","&amp;K$1&amp;",",","&amp;$D172&amp;",")),1,0)</f>
        <v>0</v>
      </c>
      <c r="L172" s="6" t="n">
        <f aca="false">IF(ISNUMBER(SEARCH(","&amp;L$1&amp;",",","&amp;$D172&amp;",")),1,0)</f>
        <v>0</v>
      </c>
      <c r="M172" s="6" t="n">
        <f aca="false">IF(ISNUMBER(SEARCH(","&amp;M$1&amp;",",","&amp;$D172&amp;",")),1,0)</f>
        <v>0</v>
      </c>
      <c r="N172" s="6" t="n">
        <f aca="false">IF(ISNUMBER(SEARCH(","&amp;N$1&amp;",",","&amp;$D172&amp;",")),1,0)</f>
        <v>0</v>
      </c>
    </row>
    <row r="173" customFormat="false" ht="23.85" hidden="false" customHeight="false" outlineLevel="0" collapsed="false">
      <c r="A173" s="2" t="s">
        <v>490</v>
      </c>
      <c r="B173" s="2" t="s">
        <v>515</v>
      </c>
      <c r="C173" s="3" t="s">
        <v>516</v>
      </c>
      <c r="D173" s="4" t="s">
        <v>5</v>
      </c>
      <c r="E173" s="5" t="s">
        <v>517</v>
      </c>
      <c r="F173" s="6" t="n">
        <f aca="false">IF(ISNUMBER(SEARCH(","&amp;F$1&amp;",",","&amp;$D173&amp;",")),1,0)</f>
        <v>1</v>
      </c>
      <c r="G173" s="6" t="n">
        <f aca="false">IF(ISNUMBER(SEARCH(","&amp;G$1&amp;",",","&amp;$D173&amp;",")),1,0)</f>
        <v>0</v>
      </c>
      <c r="H173" s="6" t="n">
        <f aca="false">IF(ISNUMBER(SEARCH(","&amp;H$1&amp;",",","&amp;$D173&amp;",")),1,0)</f>
        <v>0</v>
      </c>
      <c r="I173" s="6" t="n">
        <f aca="false">IF(ISNUMBER(SEARCH(","&amp;I$1&amp;",",","&amp;$D173&amp;",")),1,0)</f>
        <v>0</v>
      </c>
      <c r="J173" s="6" t="n">
        <f aca="false">IF(ISNUMBER(SEARCH(","&amp;J$1&amp;",",","&amp;$D173&amp;",")),1,0)</f>
        <v>0</v>
      </c>
      <c r="K173" s="6" t="n">
        <f aca="false">IF(ISNUMBER(SEARCH(","&amp;K$1&amp;",",","&amp;$D173&amp;",")),1,0)</f>
        <v>0</v>
      </c>
      <c r="L173" s="6" t="n">
        <f aca="false">IF(ISNUMBER(SEARCH(","&amp;L$1&amp;",",","&amp;$D173&amp;",")),1,0)</f>
        <v>0</v>
      </c>
      <c r="M173" s="6" t="n">
        <f aca="false">IF(ISNUMBER(SEARCH(","&amp;M$1&amp;",",","&amp;$D173&amp;",")),1,0)</f>
        <v>0</v>
      </c>
      <c r="N173" s="6" t="n">
        <f aca="false">IF(ISNUMBER(SEARCH(","&amp;N$1&amp;",",","&amp;$D173&amp;",")),1,0)</f>
        <v>0</v>
      </c>
    </row>
    <row r="174" customFormat="false" ht="23.85" hidden="false" customHeight="false" outlineLevel="0" collapsed="false">
      <c r="A174" s="2" t="s">
        <v>490</v>
      </c>
      <c r="B174" s="2" t="s">
        <v>518</v>
      </c>
      <c r="C174" s="3" t="s">
        <v>519</v>
      </c>
      <c r="D174" s="4" t="s">
        <v>5</v>
      </c>
      <c r="E174" s="5" t="s">
        <v>520</v>
      </c>
      <c r="F174" s="6" t="n">
        <f aca="false">IF(ISNUMBER(SEARCH(","&amp;F$1&amp;",",","&amp;$D174&amp;",")),1,0)</f>
        <v>1</v>
      </c>
      <c r="G174" s="6" t="n">
        <f aca="false">IF(ISNUMBER(SEARCH(","&amp;G$1&amp;",",","&amp;$D174&amp;",")),1,0)</f>
        <v>0</v>
      </c>
      <c r="H174" s="6" t="n">
        <f aca="false">IF(ISNUMBER(SEARCH(","&amp;H$1&amp;",",","&amp;$D174&amp;",")),1,0)</f>
        <v>0</v>
      </c>
      <c r="I174" s="6" t="n">
        <f aca="false">IF(ISNUMBER(SEARCH(","&amp;I$1&amp;",",","&amp;$D174&amp;",")),1,0)</f>
        <v>0</v>
      </c>
      <c r="J174" s="6" t="n">
        <f aca="false">IF(ISNUMBER(SEARCH(","&amp;J$1&amp;",",","&amp;$D174&amp;",")),1,0)</f>
        <v>0</v>
      </c>
      <c r="K174" s="6" t="n">
        <f aca="false">IF(ISNUMBER(SEARCH(","&amp;K$1&amp;",",","&amp;$D174&amp;",")),1,0)</f>
        <v>0</v>
      </c>
      <c r="L174" s="6" t="n">
        <f aca="false">IF(ISNUMBER(SEARCH(","&amp;L$1&amp;",",","&amp;$D174&amp;",")),1,0)</f>
        <v>0</v>
      </c>
      <c r="M174" s="6" t="n">
        <f aca="false">IF(ISNUMBER(SEARCH(","&amp;M$1&amp;",",","&amp;$D174&amp;",")),1,0)</f>
        <v>0</v>
      </c>
      <c r="N174" s="6" t="n">
        <f aca="false">IF(ISNUMBER(SEARCH(","&amp;N$1&amp;",",","&amp;$D174&amp;",")),1,0)</f>
        <v>0</v>
      </c>
    </row>
    <row r="175" customFormat="false" ht="23.85" hidden="false" customHeight="false" outlineLevel="0" collapsed="false">
      <c r="A175" s="2" t="s">
        <v>490</v>
      </c>
      <c r="B175" s="2" t="s">
        <v>521</v>
      </c>
      <c r="C175" s="3" t="s">
        <v>522</v>
      </c>
      <c r="D175" s="4" t="s">
        <v>7</v>
      </c>
      <c r="E175" s="5" t="s">
        <v>523</v>
      </c>
      <c r="F175" s="6" t="n">
        <f aca="false">IF(ISNUMBER(SEARCH(","&amp;F$1&amp;",",","&amp;$D175&amp;",")),1,0)</f>
        <v>0</v>
      </c>
      <c r="G175" s="6" t="n">
        <f aca="false">IF(ISNUMBER(SEARCH(","&amp;G$1&amp;",",","&amp;$D175&amp;",")),1,0)</f>
        <v>0</v>
      </c>
      <c r="H175" s="6" t="n">
        <f aca="false">IF(ISNUMBER(SEARCH(","&amp;H$1&amp;",",","&amp;$D175&amp;",")),1,0)</f>
        <v>1</v>
      </c>
      <c r="I175" s="6" t="n">
        <f aca="false">IF(ISNUMBER(SEARCH(","&amp;I$1&amp;",",","&amp;$D175&amp;",")),1,0)</f>
        <v>0</v>
      </c>
      <c r="J175" s="6" t="n">
        <f aca="false">IF(ISNUMBER(SEARCH(","&amp;J$1&amp;",",","&amp;$D175&amp;",")),1,0)</f>
        <v>0</v>
      </c>
      <c r="K175" s="6" t="n">
        <f aca="false">IF(ISNUMBER(SEARCH(","&amp;K$1&amp;",",","&amp;$D175&amp;",")),1,0)</f>
        <v>0</v>
      </c>
      <c r="L175" s="6" t="n">
        <f aca="false">IF(ISNUMBER(SEARCH(","&amp;L$1&amp;",",","&amp;$D175&amp;",")),1,0)</f>
        <v>0</v>
      </c>
      <c r="M175" s="6" t="n">
        <f aca="false">IF(ISNUMBER(SEARCH(","&amp;M$1&amp;",",","&amp;$D175&amp;",")),1,0)</f>
        <v>0</v>
      </c>
      <c r="N175" s="6" t="n">
        <f aca="false">IF(ISNUMBER(SEARCH(","&amp;N$1&amp;",",","&amp;$D175&amp;",")),1,0)</f>
        <v>0</v>
      </c>
    </row>
    <row r="176" customFormat="false" ht="23.85" hidden="false" customHeight="false" outlineLevel="0" collapsed="false">
      <c r="A176" s="2" t="s">
        <v>490</v>
      </c>
      <c r="B176" s="2" t="s">
        <v>524</v>
      </c>
      <c r="C176" s="3" t="s">
        <v>525</v>
      </c>
      <c r="D176" s="4" t="s">
        <v>8</v>
      </c>
      <c r="E176" s="5" t="s">
        <v>526</v>
      </c>
      <c r="F176" s="6" t="n">
        <f aca="false">IF(ISNUMBER(SEARCH(","&amp;F$1&amp;",",","&amp;$D176&amp;",")),1,0)</f>
        <v>0</v>
      </c>
      <c r="G176" s="6" t="n">
        <f aca="false">IF(ISNUMBER(SEARCH(","&amp;G$1&amp;",",","&amp;$D176&amp;",")),1,0)</f>
        <v>0</v>
      </c>
      <c r="H176" s="6" t="n">
        <f aca="false">IF(ISNUMBER(SEARCH(","&amp;H$1&amp;",",","&amp;$D176&amp;",")),1,0)</f>
        <v>0</v>
      </c>
      <c r="I176" s="6" t="n">
        <f aca="false">IF(ISNUMBER(SEARCH(","&amp;I$1&amp;",",","&amp;$D176&amp;",")),1,0)</f>
        <v>1</v>
      </c>
      <c r="J176" s="6" t="n">
        <f aca="false">IF(ISNUMBER(SEARCH(","&amp;J$1&amp;",",","&amp;$D176&amp;",")),1,0)</f>
        <v>0</v>
      </c>
      <c r="K176" s="6" t="n">
        <f aca="false">IF(ISNUMBER(SEARCH(","&amp;K$1&amp;",",","&amp;$D176&amp;",")),1,0)</f>
        <v>0</v>
      </c>
      <c r="L176" s="6" t="n">
        <f aca="false">IF(ISNUMBER(SEARCH(","&amp;L$1&amp;",",","&amp;$D176&amp;",")),1,0)</f>
        <v>0</v>
      </c>
      <c r="M176" s="6" t="n">
        <f aca="false">IF(ISNUMBER(SEARCH(","&amp;M$1&amp;",",","&amp;$D176&amp;",")),1,0)</f>
        <v>0</v>
      </c>
      <c r="N176" s="6" t="n">
        <f aca="false">IF(ISNUMBER(SEARCH(","&amp;N$1&amp;",",","&amp;$D176&amp;",")),1,0)</f>
        <v>0</v>
      </c>
    </row>
    <row r="177" customFormat="false" ht="23.85" hidden="false" customHeight="false" outlineLevel="0" collapsed="false">
      <c r="A177" s="2" t="s">
        <v>527</v>
      </c>
      <c r="B177" s="2" t="s">
        <v>528</v>
      </c>
      <c r="C177" s="3" t="s">
        <v>529</v>
      </c>
      <c r="D177" s="4" t="s">
        <v>309</v>
      </c>
      <c r="E177" s="5" t="s">
        <v>530</v>
      </c>
      <c r="F177" s="6" t="n">
        <f aca="false">IF(ISNUMBER(SEARCH(","&amp;F$1&amp;",",","&amp;$D177&amp;",")),1,0)</f>
        <v>1</v>
      </c>
      <c r="G177" s="6" t="n">
        <f aca="false">IF(ISNUMBER(SEARCH(","&amp;G$1&amp;",",","&amp;$D177&amp;",")),1,0)</f>
        <v>0</v>
      </c>
      <c r="H177" s="6" t="n">
        <f aca="false">IF(ISNUMBER(SEARCH(","&amp;H$1&amp;",",","&amp;$D177&amp;",")),1,0)</f>
        <v>0</v>
      </c>
      <c r="I177" s="6" t="n">
        <f aca="false">IF(ISNUMBER(SEARCH(","&amp;I$1&amp;",",","&amp;$D177&amp;",")),1,0)</f>
        <v>0</v>
      </c>
      <c r="J177" s="6" t="n">
        <f aca="false">IF(ISNUMBER(SEARCH(","&amp;J$1&amp;",",","&amp;$D177&amp;",")),1,0)</f>
        <v>0</v>
      </c>
      <c r="K177" s="6" t="n">
        <f aca="false">IF(ISNUMBER(SEARCH(","&amp;K$1&amp;",",","&amp;$D177&amp;",")),1,0)</f>
        <v>0</v>
      </c>
      <c r="L177" s="6" t="n">
        <f aca="false">IF(ISNUMBER(SEARCH(","&amp;L$1&amp;",",","&amp;$D177&amp;",")),1,0)</f>
        <v>0</v>
      </c>
      <c r="M177" s="6" t="n">
        <f aca="false">IF(ISNUMBER(SEARCH(","&amp;M$1&amp;",",","&amp;$D177&amp;",")),1,0)</f>
        <v>1</v>
      </c>
      <c r="N177" s="6" t="n">
        <f aca="false">IF(ISNUMBER(SEARCH(","&amp;N$1&amp;",",","&amp;$D177&amp;",")),1,0)</f>
        <v>0</v>
      </c>
    </row>
    <row r="178" customFormat="false" ht="23.85" hidden="false" customHeight="false" outlineLevel="0" collapsed="false">
      <c r="A178" s="2" t="s">
        <v>527</v>
      </c>
      <c r="B178" s="2" t="s">
        <v>531</v>
      </c>
      <c r="C178" s="3" t="s">
        <v>532</v>
      </c>
      <c r="D178" s="4" t="s">
        <v>309</v>
      </c>
      <c r="E178" s="5" t="s">
        <v>533</v>
      </c>
      <c r="F178" s="6" t="n">
        <f aca="false">IF(ISNUMBER(SEARCH(","&amp;F$1&amp;",",","&amp;$D178&amp;",")),1,0)</f>
        <v>1</v>
      </c>
      <c r="G178" s="6" t="n">
        <f aca="false">IF(ISNUMBER(SEARCH(","&amp;G$1&amp;",",","&amp;$D178&amp;",")),1,0)</f>
        <v>0</v>
      </c>
      <c r="H178" s="6" t="n">
        <f aca="false">IF(ISNUMBER(SEARCH(","&amp;H$1&amp;",",","&amp;$D178&amp;",")),1,0)</f>
        <v>0</v>
      </c>
      <c r="I178" s="6" t="n">
        <f aca="false">IF(ISNUMBER(SEARCH(","&amp;I$1&amp;",",","&amp;$D178&amp;",")),1,0)</f>
        <v>0</v>
      </c>
      <c r="J178" s="6" t="n">
        <f aca="false">IF(ISNUMBER(SEARCH(","&amp;J$1&amp;",",","&amp;$D178&amp;",")),1,0)</f>
        <v>0</v>
      </c>
      <c r="K178" s="6" t="n">
        <f aca="false">IF(ISNUMBER(SEARCH(","&amp;K$1&amp;",",","&amp;$D178&amp;",")),1,0)</f>
        <v>0</v>
      </c>
      <c r="L178" s="6" t="n">
        <f aca="false">IF(ISNUMBER(SEARCH(","&amp;L$1&amp;",",","&amp;$D178&amp;",")),1,0)</f>
        <v>0</v>
      </c>
      <c r="M178" s="6" t="n">
        <f aca="false">IF(ISNUMBER(SEARCH(","&amp;M$1&amp;",",","&amp;$D178&amp;",")),1,0)</f>
        <v>1</v>
      </c>
      <c r="N178" s="6" t="n">
        <f aca="false">IF(ISNUMBER(SEARCH(","&amp;N$1&amp;",",","&amp;$D178&amp;",")),1,0)</f>
        <v>0</v>
      </c>
    </row>
    <row r="179" customFormat="false" ht="23.85" hidden="false" customHeight="false" outlineLevel="0" collapsed="false">
      <c r="A179" s="2" t="s">
        <v>527</v>
      </c>
      <c r="B179" s="2" t="s">
        <v>534</v>
      </c>
      <c r="C179" s="3" t="s">
        <v>535</v>
      </c>
      <c r="D179" s="4" t="s">
        <v>309</v>
      </c>
      <c r="E179" s="5" t="s">
        <v>536</v>
      </c>
      <c r="F179" s="6" t="n">
        <f aca="false">IF(ISNUMBER(SEARCH(","&amp;F$1&amp;",",","&amp;$D179&amp;",")),1,0)</f>
        <v>1</v>
      </c>
      <c r="G179" s="6" t="n">
        <f aca="false">IF(ISNUMBER(SEARCH(","&amp;G$1&amp;",",","&amp;$D179&amp;",")),1,0)</f>
        <v>0</v>
      </c>
      <c r="H179" s="6" t="n">
        <f aca="false">IF(ISNUMBER(SEARCH(","&amp;H$1&amp;",",","&amp;$D179&amp;",")),1,0)</f>
        <v>0</v>
      </c>
      <c r="I179" s="6" t="n">
        <f aca="false">IF(ISNUMBER(SEARCH(","&amp;I$1&amp;",",","&amp;$D179&amp;",")),1,0)</f>
        <v>0</v>
      </c>
      <c r="J179" s="6" t="n">
        <f aca="false">IF(ISNUMBER(SEARCH(","&amp;J$1&amp;",",","&amp;$D179&amp;",")),1,0)</f>
        <v>0</v>
      </c>
      <c r="K179" s="6" t="n">
        <f aca="false">IF(ISNUMBER(SEARCH(","&amp;K$1&amp;",",","&amp;$D179&amp;",")),1,0)</f>
        <v>0</v>
      </c>
      <c r="L179" s="6" t="n">
        <f aca="false">IF(ISNUMBER(SEARCH(","&amp;L$1&amp;",",","&amp;$D179&amp;",")),1,0)</f>
        <v>0</v>
      </c>
      <c r="M179" s="6" t="n">
        <f aca="false">IF(ISNUMBER(SEARCH(","&amp;M$1&amp;",",","&amp;$D179&amp;",")),1,0)</f>
        <v>1</v>
      </c>
      <c r="N179" s="6" t="n">
        <f aca="false">IF(ISNUMBER(SEARCH(","&amp;N$1&amp;",",","&amp;$D179&amp;",")),1,0)</f>
        <v>0</v>
      </c>
    </row>
    <row r="180" customFormat="false" ht="23.85" hidden="false" customHeight="false" outlineLevel="0" collapsed="false">
      <c r="A180" s="2" t="s">
        <v>527</v>
      </c>
      <c r="B180" s="2" t="s">
        <v>537</v>
      </c>
      <c r="C180" s="3" t="s">
        <v>538</v>
      </c>
      <c r="D180" s="4" t="s">
        <v>404</v>
      </c>
      <c r="E180" s="5" t="s">
        <v>539</v>
      </c>
      <c r="F180" s="6" t="n">
        <f aca="false">IF(ISNUMBER(SEARCH(","&amp;F$1&amp;",",","&amp;$D180&amp;",")),1,0)</f>
        <v>0</v>
      </c>
      <c r="G180" s="6" t="n">
        <f aca="false">IF(ISNUMBER(SEARCH(","&amp;G$1&amp;",",","&amp;$D180&amp;",")),1,0)</f>
        <v>0</v>
      </c>
      <c r="H180" s="6" t="n">
        <f aca="false">IF(ISNUMBER(SEARCH(","&amp;H$1&amp;",",","&amp;$D180&amp;",")),1,0)</f>
        <v>0</v>
      </c>
      <c r="I180" s="6" t="n">
        <f aca="false">IF(ISNUMBER(SEARCH(","&amp;I$1&amp;",",","&amp;$D180&amp;",")),1,0)</f>
        <v>1</v>
      </c>
      <c r="J180" s="6" t="n">
        <f aca="false">IF(ISNUMBER(SEARCH(","&amp;J$1&amp;",",","&amp;$D180&amp;",")),1,0)</f>
        <v>0</v>
      </c>
      <c r="K180" s="6" t="n">
        <f aca="false">IF(ISNUMBER(SEARCH(","&amp;K$1&amp;",",","&amp;$D180&amp;",")),1,0)</f>
        <v>0</v>
      </c>
      <c r="L180" s="6" t="n">
        <f aca="false">IF(ISNUMBER(SEARCH(","&amp;L$1&amp;",",","&amp;$D180&amp;",")),1,0)</f>
        <v>0</v>
      </c>
      <c r="M180" s="6" t="n">
        <f aca="false">IF(ISNUMBER(SEARCH(","&amp;M$1&amp;",",","&amp;$D180&amp;",")),1,0)</f>
        <v>1</v>
      </c>
      <c r="N180" s="6" t="n">
        <f aca="false">IF(ISNUMBER(SEARCH(","&amp;N$1&amp;",",","&amp;$D180&amp;",")),1,0)</f>
        <v>0</v>
      </c>
    </row>
    <row r="181" customFormat="false" ht="23.85" hidden="false" customHeight="false" outlineLevel="0" collapsed="false">
      <c r="A181" s="2" t="s">
        <v>527</v>
      </c>
      <c r="B181" s="2" t="s">
        <v>540</v>
      </c>
      <c r="C181" s="3" t="s">
        <v>541</v>
      </c>
      <c r="D181" s="4" t="s">
        <v>404</v>
      </c>
      <c r="E181" s="5" t="s">
        <v>542</v>
      </c>
      <c r="F181" s="6" t="n">
        <f aca="false">IF(ISNUMBER(SEARCH(","&amp;F$1&amp;",",","&amp;$D181&amp;",")),1,0)</f>
        <v>0</v>
      </c>
      <c r="G181" s="6" t="n">
        <f aca="false">IF(ISNUMBER(SEARCH(","&amp;G$1&amp;",",","&amp;$D181&amp;",")),1,0)</f>
        <v>0</v>
      </c>
      <c r="H181" s="6" t="n">
        <f aca="false">IF(ISNUMBER(SEARCH(","&amp;H$1&amp;",",","&amp;$D181&amp;",")),1,0)</f>
        <v>0</v>
      </c>
      <c r="I181" s="6" t="n">
        <f aca="false">IF(ISNUMBER(SEARCH(","&amp;I$1&amp;",",","&amp;$D181&amp;",")),1,0)</f>
        <v>1</v>
      </c>
      <c r="J181" s="6" t="n">
        <f aca="false">IF(ISNUMBER(SEARCH(","&amp;J$1&amp;",",","&amp;$D181&amp;",")),1,0)</f>
        <v>0</v>
      </c>
      <c r="K181" s="6" t="n">
        <f aca="false">IF(ISNUMBER(SEARCH(","&amp;K$1&amp;",",","&amp;$D181&amp;",")),1,0)</f>
        <v>0</v>
      </c>
      <c r="L181" s="6" t="n">
        <f aca="false">IF(ISNUMBER(SEARCH(","&amp;L$1&amp;",",","&amp;$D181&amp;",")),1,0)</f>
        <v>0</v>
      </c>
      <c r="M181" s="6" t="n">
        <f aca="false">IF(ISNUMBER(SEARCH(","&amp;M$1&amp;",",","&amp;$D181&amp;",")),1,0)</f>
        <v>1</v>
      </c>
      <c r="N181" s="6" t="n">
        <f aca="false">IF(ISNUMBER(SEARCH(","&amp;N$1&amp;",",","&amp;$D181&amp;",")),1,0)</f>
        <v>0</v>
      </c>
    </row>
    <row r="182" customFormat="false" ht="23.85" hidden="false" customHeight="false" outlineLevel="0" collapsed="false">
      <c r="A182" s="2" t="s">
        <v>527</v>
      </c>
      <c r="B182" s="2" t="s">
        <v>543</v>
      </c>
      <c r="C182" s="3" t="s">
        <v>544</v>
      </c>
      <c r="D182" s="4" t="s">
        <v>404</v>
      </c>
      <c r="E182" s="5" t="s">
        <v>545</v>
      </c>
      <c r="F182" s="6" t="n">
        <f aca="false">IF(ISNUMBER(SEARCH(","&amp;F$1&amp;",",","&amp;$D182&amp;",")),1,0)</f>
        <v>0</v>
      </c>
      <c r="G182" s="6" t="n">
        <f aca="false">IF(ISNUMBER(SEARCH(","&amp;G$1&amp;",",","&amp;$D182&amp;",")),1,0)</f>
        <v>0</v>
      </c>
      <c r="H182" s="6" t="n">
        <f aca="false">IF(ISNUMBER(SEARCH(","&amp;H$1&amp;",",","&amp;$D182&amp;",")),1,0)</f>
        <v>0</v>
      </c>
      <c r="I182" s="6" t="n">
        <f aca="false">IF(ISNUMBER(SEARCH(","&amp;I$1&amp;",",","&amp;$D182&amp;",")),1,0)</f>
        <v>1</v>
      </c>
      <c r="J182" s="6" t="n">
        <f aca="false">IF(ISNUMBER(SEARCH(","&amp;J$1&amp;",",","&amp;$D182&amp;",")),1,0)</f>
        <v>0</v>
      </c>
      <c r="K182" s="6" t="n">
        <f aca="false">IF(ISNUMBER(SEARCH(","&amp;K$1&amp;",",","&amp;$D182&amp;",")),1,0)</f>
        <v>0</v>
      </c>
      <c r="L182" s="6" t="n">
        <f aca="false">IF(ISNUMBER(SEARCH(","&amp;L$1&amp;",",","&amp;$D182&amp;",")),1,0)</f>
        <v>0</v>
      </c>
      <c r="M182" s="6" t="n">
        <f aca="false">IF(ISNUMBER(SEARCH(","&amp;M$1&amp;",",","&amp;$D182&amp;",")),1,0)</f>
        <v>1</v>
      </c>
      <c r="N182" s="6" t="n">
        <f aca="false">IF(ISNUMBER(SEARCH(","&amp;N$1&amp;",",","&amp;$D182&amp;",")),1,0)</f>
        <v>0</v>
      </c>
    </row>
    <row r="183" customFormat="false" ht="23.85" hidden="false" customHeight="false" outlineLevel="0" collapsed="false">
      <c r="A183" s="2" t="s">
        <v>527</v>
      </c>
      <c r="B183" s="2" t="s">
        <v>546</v>
      </c>
      <c r="C183" s="3" t="s">
        <v>547</v>
      </c>
      <c r="D183" s="4" t="s">
        <v>309</v>
      </c>
      <c r="E183" s="5" t="s">
        <v>548</v>
      </c>
      <c r="F183" s="6" t="n">
        <f aca="false">IF(ISNUMBER(SEARCH(","&amp;F$1&amp;",",","&amp;$D183&amp;",")),1,0)</f>
        <v>1</v>
      </c>
      <c r="G183" s="6" t="n">
        <f aca="false">IF(ISNUMBER(SEARCH(","&amp;G$1&amp;",",","&amp;$D183&amp;",")),1,0)</f>
        <v>0</v>
      </c>
      <c r="H183" s="6" t="n">
        <f aca="false">IF(ISNUMBER(SEARCH(","&amp;H$1&amp;",",","&amp;$D183&amp;",")),1,0)</f>
        <v>0</v>
      </c>
      <c r="I183" s="6" t="n">
        <f aca="false">IF(ISNUMBER(SEARCH(","&amp;I$1&amp;",",","&amp;$D183&amp;",")),1,0)</f>
        <v>0</v>
      </c>
      <c r="J183" s="6" t="n">
        <f aca="false">IF(ISNUMBER(SEARCH(","&amp;J$1&amp;",",","&amp;$D183&amp;",")),1,0)</f>
        <v>0</v>
      </c>
      <c r="K183" s="6" t="n">
        <f aca="false">IF(ISNUMBER(SEARCH(","&amp;K$1&amp;",",","&amp;$D183&amp;",")),1,0)</f>
        <v>0</v>
      </c>
      <c r="L183" s="6" t="n">
        <f aca="false">IF(ISNUMBER(SEARCH(","&amp;L$1&amp;",",","&amp;$D183&amp;",")),1,0)</f>
        <v>0</v>
      </c>
      <c r="M183" s="6" t="n">
        <f aca="false">IF(ISNUMBER(SEARCH(","&amp;M$1&amp;",",","&amp;$D183&amp;",")),1,0)</f>
        <v>1</v>
      </c>
      <c r="N183" s="6" t="n">
        <f aca="false">IF(ISNUMBER(SEARCH(","&amp;N$1&amp;",",","&amp;$D183&amp;",")),1,0)</f>
        <v>0</v>
      </c>
    </row>
    <row r="184" customFormat="false" ht="23.85" hidden="false" customHeight="false" outlineLevel="0" collapsed="false">
      <c r="A184" s="2" t="s">
        <v>527</v>
      </c>
      <c r="B184" s="2" t="s">
        <v>549</v>
      </c>
      <c r="C184" s="3" t="s">
        <v>550</v>
      </c>
      <c r="D184" s="4" t="s">
        <v>309</v>
      </c>
      <c r="E184" s="5" t="s">
        <v>551</v>
      </c>
      <c r="F184" s="6" t="n">
        <f aca="false">IF(ISNUMBER(SEARCH(","&amp;F$1&amp;",",","&amp;$D184&amp;",")),1,0)</f>
        <v>1</v>
      </c>
      <c r="G184" s="6" t="n">
        <f aca="false">IF(ISNUMBER(SEARCH(","&amp;G$1&amp;",",","&amp;$D184&amp;",")),1,0)</f>
        <v>0</v>
      </c>
      <c r="H184" s="6" t="n">
        <f aca="false">IF(ISNUMBER(SEARCH(","&amp;H$1&amp;",",","&amp;$D184&amp;",")),1,0)</f>
        <v>0</v>
      </c>
      <c r="I184" s="6" t="n">
        <f aca="false">IF(ISNUMBER(SEARCH(","&amp;I$1&amp;",",","&amp;$D184&amp;",")),1,0)</f>
        <v>0</v>
      </c>
      <c r="J184" s="6" t="n">
        <f aca="false">IF(ISNUMBER(SEARCH(","&amp;J$1&amp;",",","&amp;$D184&amp;",")),1,0)</f>
        <v>0</v>
      </c>
      <c r="K184" s="6" t="n">
        <f aca="false">IF(ISNUMBER(SEARCH(","&amp;K$1&amp;",",","&amp;$D184&amp;",")),1,0)</f>
        <v>0</v>
      </c>
      <c r="L184" s="6" t="n">
        <f aca="false">IF(ISNUMBER(SEARCH(","&amp;L$1&amp;",",","&amp;$D184&amp;",")),1,0)</f>
        <v>0</v>
      </c>
      <c r="M184" s="6" t="n">
        <f aca="false">IF(ISNUMBER(SEARCH(","&amp;M$1&amp;",",","&amp;$D184&amp;",")),1,0)</f>
        <v>1</v>
      </c>
      <c r="N184" s="6" t="n">
        <f aca="false">IF(ISNUMBER(SEARCH(","&amp;N$1&amp;",",","&amp;$D184&amp;",")),1,0)</f>
        <v>0</v>
      </c>
    </row>
    <row r="185" customFormat="false" ht="23.85" hidden="false" customHeight="false" outlineLevel="0" collapsed="false">
      <c r="A185" s="2" t="s">
        <v>527</v>
      </c>
      <c r="B185" s="2" t="s">
        <v>552</v>
      </c>
      <c r="C185" s="3" t="s">
        <v>553</v>
      </c>
      <c r="D185" s="4" t="s">
        <v>309</v>
      </c>
      <c r="E185" s="5" t="s">
        <v>554</v>
      </c>
      <c r="F185" s="6" t="n">
        <f aca="false">IF(ISNUMBER(SEARCH(","&amp;F$1&amp;",",","&amp;$D185&amp;",")),1,0)</f>
        <v>1</v>
      </c>
      <c r="G185" s="6" t="n">
        <f aca="false">IF(ISNUMBER(SEARCH(","&amp;G$1&amp;",",","&amp;$D185&amp;",")),1,0)</f>
        <v>0</v>
      </c>
      <c r="H185" s="6" t="n">
        <f aca="false">IF(ISNUMBER(SEARCH(","&amp;H$1&amp;",",","&amp;$D185&amp;",")),1,0)</f>
        <v>0</v>
      </c>
      <c r="I185" s="6" t="n">
        <f aca="false">IF(ISNUMBER(SEARCH(","&amp;I$1&amp;",",","&amp;$D185&amp;",")),1,0)</f>
        <v>0</v>
      </c>
      <c r="J185" s="6" t="n">
        <f aca="false">IF(ISNUMBER(SEARCH(","&amp;J$1&amp;",",","&amp;$D185&amp;",")),1,0)</f>
        <v>0</v>
      </c>
      <c r="K185" s="6" t="n">
        <f aca="false">IF(ISNUMBER(SEARCH(","&amp;K$1&amp;",",","&amp;$D185&amp;",")),1,0)</f>
        <v>0</v>
      </c>
      <c r="L185" s="6" t="n">
        <f aca="false">IF(ISNUMBER(SEARCH(","&amp;L$1&amp;",",","&amp;$D185&amp;",")),1,0)</f>
        <v>0</v>
      </c>
      <c r="M185" s="6" t="n">
        <f aca="false">IF(ISNUMBER(SEARCH(","&amp;M$1&amp;",",","&amp;$D185&amp;",")),1,0)</f>
        <v>1</v>
      </c>
      <c r="N185" s="6" t="n">
        <f aca="false">IF(ISNUMBER(SEARCH(","&amp;N$1&amp;",",","&amp;$D185&amp;",")),1,0)</f>
        <v>0</v>
      </c>
    </row>
    <row r="186" customFormat="false" ht="23.85" hidden="false" customHeight="false" outlineLevel="0" collapsed="false">
      <c r="A186" s="2" t="s">
        <v>527</v>
      </c>
      <c r="B186" s="2" t="s">
        <v>555</v>
      </c>
      <c r="C186" s="3" t="s">
        <v>556</v>
      </c>
      <c r="D186" s="4" t="s">
        <v>309</v>
      </c>
      <c r="E186" s="5" t="s">
        <v>557</v>
      </c>
      <c r="F186" s="6" t="n">
        <f aca="false">IF(ISNUMBER(SEARCH(","&amp;F$1&amp;",",","&amp;$D186&amp;",")),1,0)</f>
        <v>1</v>
      </c>
      <c r="G186" s="6" t="n">
        <f aca="false">IF(ISNUMBER(SEARCH(","&amp;G$1&amp;",",","&amp;$D186&amp;",")),1,0)</f>
        <v>0</v>
      </c>
      <c r="H186" s="6" t="n">
        <f aca="false">IF(ISNUMBER(SEARCH(","&amp;H$1&amp;",",","&amp;$D186&amp;",")),1,0)</f>
        <v>0</v>
      </c>
      <c r="I186" s="6" t="n">
        <f aca="false">IF(ISNUMBER(SEARCH(","&amp;I$1&amp;",",","&amp;$D186&amp;",")),1,0)</f>
        <v>0</v>
      </c>
      <c r="J186" s="6" t="n">
        <f aca="false">IF(ISNUMBER(SEARCH(","&amp;J$1&amp;",",","&amp;$D186&amp;",")),1,0)</f>
        <v>0</v>
      </c>
      <c r="K186" s="6" t="n">
        <f aca="false">IF(ISNUMBER(SEARCH(","&amp;K$1&amp;",",","&amp;$D186&amp;",")),1,0)</f>
        <v>0</v>
      </c>
      <c r="L186" s="6" t="n">
        <f aca="false">IF(ISNUMBER(SEARCH(","&amp;L$1&amp;",",","&amp;$D186&amp;",")),1,0)</f>
        <v>0</v>
      </c>
      <c r="M186" s="6" t="n">
        <f aca="false">IF(ISNUMBER(SEARCH(","&amp;M$1&amp;",",","&amp;$D186&amp;",")),1,0)</f>
        <v>1</v>
      </c>
      <c r="N186" s="6" t="n">
        <f aca="false">IF(ISNUMBER(SEARCH(","&amp;N$1&amp;",",","&amp;$D186&amp;",")),1,0)</f>
        <v>0</v>
      </c>
    </row>
    <row r="187" customFormat="false" ht="23.85" hidden="false" customHeight="false" outlineLevel="0" collapsed="false">
      <c r="A187" s="2" t="s">
        <v>527</v>
      </c>
      <c r="B187" s="2" t="s">
        <v>558</v>
      </c>
      <c r="C187" s="3" t="s">
        <v>559</v>
      </c>
      <c r="D187" s="4" t="s">
        <v>309</v>
      </c>
      <c r="E187" s="5" t="s">
        <v>560</v>
      </c>
      <c r="F187" s="6" t="n">
        <f aca="false">IF(ISNUMBER(SEARCH(","&amp;F$1&amp;",",","&amp;$D187&amp;",")),1,0)</f>
        <v>1</v>
      </c>
      <c r="G187" s="6" t="n">
        <f aca="false">IF(ISNUMBER(SEARCH(","&amp;G$1&amp;",",","&amp;$D187&amp;",")),1,0)</f>
        <v>0</v>
      </c>
      <c r="H187" s="6" t="n">
        <f aca="false">IF(ISNUMBER(SEARCH(","&amp;H$1&amp;",",","&amp;$D187&amp;",")),1,0)</f>
        <v>0</v>
      </c>
      <c r="I187" s="6" t="n">
        <f aca="false">IF(ISNUMBER(SEARCH(","&amp;I$1&amp;",",","&amp;$D187&amp;",")),1,0)</f>
        <v>0</v>
      </c>
      <c r="J187" s="6" t="n">
        <f aca="false">IF(ISNUMBER(SEARCH(","&amp;J$1&amp;",",","&amp;$D187&amp;",")),1,0)</f>
        <v>0</v>
      </c>
      <c r="K187" s="6" t="n">
        <f aca="false">IF(ISNUMBER(SEARCH(","&amp;K$1&amp;",",","&amp;$D187&amp;",")),1,0)</f>
        <v>0</v>
      </c>
      <c r="L187" s="6" t="n">
        <f aca="false">IF(ISNUMBER(SEARCH(","&amp;L$1&amp;",",","&amp;$D187&amp;",")),1,0)</f>
        <v>0</v>
      </c>
      <c r="M187" s="6" t="n">
        <f aca="false">IF(ISNUMBER(SEARCH(","&amp;M$1&amp;",",","&amp;$D187&amp;",")),1,0)</f>
        <v>1</v>
      </c>
      <c r="N187" s="6" t="n">
        <f aca="false">IF(ISNUMBER(SEARCH(","&amp;N$1&amp;",",","&amp;$D187&amp;",")),1,0)</f>
        <v>0</v>
      </c>
    </row>
    <row r="188" customFormat="false" ht="23.85" hidden="false" customHeight="false" outlineLevel="0" collapsed="false">
      <c r="A188" s="2" t="s">
        <v>527</v>
      </c>
      <c r="B188" s="2" t="s">
        <v>561</v>
      </c>
      <c r="C188" s="3" t="s">
        <v>562</v>
      </c>
      <c r="D188" s="4" t="s">
        <v>309</v>
      </c>
      <c r="E188" s="5" t="s">
        <v>563</v>
      </c>
      <c r="F188" s="6" t="n">
        <f aca="false">IF(ISNUMBER(SEARCH(","&amp;F$1&amp;",",","&amp;$D188&amp;",")),1,0)</f>
        <v>1</v>
      </c>
      <c r="G188" s="6" t="n">
        <f aca="false">IF(ISNUMBER(SEARCH(","&amp;G$1&amp;",",","&amp;$D188&amp;",")),1,0)</f>
        <v>0</v>
      </c>
      <c r="H188" s="6" t="n">
        <f aca="false">IF(ISNUMBER(SEARCH(","&amp;H$1&amp;",",","&amp;$D188&amp;",")),1,0)</f>
        <v>0</v>
      </c>
      <c r="I188" s="6" t="n">
        <f aca="false">IF(ISNUMBER(SEARCH(","&amp;I$1&amp;",",","&amp;$D188&amp;",")),1,0)</f>
        <v>0</v>
      </c>
      <c r="J188" s="6" t="n">
        <f aca="false">IF(ISNUMBER(SEARCH(","&amp;J$1&amp;",",","&amp;$D188&amp;",")),1,0)</f>
        <v>0</v>
      </c>
      <c r="K188" s="6" t="n">
        <f aca="false">IF(ISNUMBER(SEARCH(","&amp;K$1&amp;",",","&amp;$D188&amp;",")),1,0)</f>
        <v>0</v>
      </c>
      <c r="L188" s="6" t="n">
        <f aca="false">IF(ISNUMBER(SEARCH(","&amp;L$1&amp;",",","&amp;$D188&amp;",")),1,0)</f>
        <v>0</v>
      </c>
      <c r="M188" s="6" t="n">
        <f aca="false">IF(ISNUMBER(SEARCH(","&amp;M$1&amp;",",","&amp;$D188&amp;",")),1,0)</f>
        <v>1</v>
      </c>
      <c r="N188" s="6" t="n">
        <f aca="false">IF(ISNUMBER(SEARCH(","&amp;N$1&amp;",",","&amp;$D188&amp;",")),1,0)</f>
        <v>0</v>
      </c>
    </row>
    <row r="189" customFormat="false" ht="23.85" hidden="false" customHeight="false" outlineLevel="0" collapsed="false">
      <c r="A189" s="2" t="s">
        <v>527</v>
      </c>
      <c r="B189" s="2" t="s">
        <v>564</v>
      </c>
      <c r="C189" s="3" t="s">
        <v>565</v>
      </c>
      <c r="D189" s="4" t="s">
        <v>32</v>
      </c>
      <c r="E189" s="5" t="s">
        <v>566</v>
      </c>
      <c r="F189" s="6" t="n">
        <f aca="false">IF(ISNUMBER(SEARCH(","&amp;F$1&amp;",",","&amp;$D189&amp;",")),1,0)</f>
        <v>0</v>
      </c>
      <c r="G189" s="6" t="n">
        <f aca="false">IF(ISNUMBER(SEARCH(","&amp;G$1&amp;",",","&amp;$D189&amp;",")),1,0)</f>
        <v>1</v>
      </c>
      <c r="H189" s="6" t="n">
        <f aca="false">IF(ISNUMBER(SEARCH(","&amp;H$1&amp;",",","&amp;$D189&amp;",")),1,0)</f>
        <v>0</v>
      </c>
      <c r="I189" s="6" t="n">
        <f aca="false">IF(ISNUMBER(SEARCH(","&amp;I$1&amp;",",","&amp;$D189&amp;",")),1,0)</f>
        <v>0</v>
      </c>
      <c r="J189" s="6" t="n">
        <f aca="false">IF(ISNUMBER(SEARCH(","&amp;J$1&amp;",",","&amp;$D189&amp;",")),1,0)</f>
        <v>0</v>
      </c>
      <c r="K189" s="6" t="n">
        <f aca="false">IF(ISNUMBER(SEARCH(","&amp;K$1&amp;",",","&amp;$D189&amp;",")),1,0)</f>
        <v>0</v>
      </c>
      <c r="L189" s="6" t="n">
        <f aca="false">IF(ISNUMBER(SEARCH(","&amp;L$1&amp;",",","&amp;$D189&amp;",")),1,0)</f>
        <v>0</v>
      </c>
      <c r="M189" s="6" t="n">
        <f aca="false">IF(ISNUMBER(SEARCH(","&amp;M$1&amp;",",","&amp;$D189&amp;",")),1,0)</f>
        <v>1</v>
      </c>
      <c r="N189" s="6" t="n">
        <f aca="false">IF(ISNUMBER(SEARCH(","&amp;N$1&amp;",",","&amp;$D189&amp;",")),1,0)</f>
        <v>0</v>
      </c>
    </row>
    <row r="190" customFormat="false" ht="23.85" hidden="false" customHeight="false" outlineLevel="0" collapsed="false">
      <c r="A190" s="2" t="s">
        <v>527</v>
      </c>
      <c r="B190" s="2" t="s">
        <v>567</v>
      </c>
      <c r="C190" s="3" t="s">
        <v>568</v>
      </c>
      <c r="D190" s="4" t="s">
        <v>32</v>
      </c>
      <c r="E190" s="5" t="s">
        <v>569</v>
      </c>
      <c r="F190" s="6" t="n">
        <f aca="false">IF(ISNUMBER(SEARCH(","&amp;F$1&amp;",",","&amp;$D190&amp;",")),1,0)</f>
        <v>0</v>
      </c>
      <c r="G190" s="6" t="n">
        <f aca="false">IF(ISNUMBER(SEARCH(","&amp;G$1&amp;",",","&amp;$D190&amp;",")),1,0)</f>
        <v>1</v>
      </c>
      <c r="H190" s="6" t="n">
        <f aca="false">IF(ISNUMBER(SEARCH(","&amp;H$1&amp;",",","&amp;$D190&amp;",")),1,0)</f>
        <v>0</v>
      </c>
      <c r="I190" s="6" t="n">
        <f aca="false">IF(ISNUMBER(SEARCH(","&amp;I$1&amp;",",","&amp;$D190&amp;",")),1,0)</f>
        <v>0</v>
      </c>
      <c r="J190" s="6" t="n">
        <f aca="false">IF(ISNUMBER(SEARCH(","&amp;J$1&amp;",",","&amp;$D190&amp;",")),1,0)</f>
        <v>0</v>
      </c>
      <c r="K190" s="6" t="n">
        <f aca="false">IF(ISNUMBER(SEARCH(","&amp;K$1&amp;",",","&amp;$D190&amp;",")),1,0)</f>
        <v>0</v>
      </c>
      <c r="L190" s="6" t="n">
        <f aca="false">IF(ISNUMBER(SEARCH(","&amp;L$1&amp;",",","&amp;$D190&amp;",")),1,0)</f>
        <v>0</v>
      </c>
      <c r="M190" s="6" t="n">
        <f aca="false">IF(ISNUMBER(SEARCH(","&amp;M$1&amp;",",","&amp;$D190&amp;",")),1,0)</f>
        <v>1</v>
      </c>
      <c r="N190" s="6" t="n">
        <f aca="false">IF(ISNUMBER(SEARCH(","&amp;N$1&amp;",",","&amp;$D190&amp;",")),1,0)</f>
        <v>0</v>
      </c>
    </row>
    <row r="191" customFormat="false" ht="15" hidden="false" customHeight="false" outlineLevel="0" collapsed="false">
      <c r="A191" s="2" t="s">
        <v>527</v>
      </c>
      <c r="B191" s="2" t="s">
        <v>567</v>
      </c>
      <c r="C191" s="3" t="s">
        <v>570</v>
      </c>
      <c r="D191" s="4" t="s">
        <v>32</v>
      </c>
      <c r="E191" s="5" t="s">
        <v>571</v>
      </c>
      <c r="F191" s="6" t="n">
        <f aca="false">IF(ISNUMBER(SEARCH(","&amp;F$1&amp;",",","&amp;$D191&amp;",")),1,0)</f>
        <v>0</v>
      </c>
      <c r="G191" s="6" t="n">
        <f aca="false">IF(ISNUMBER(SEARCH(","&amp;G$1&amp;",",","&amp;$D191&amp;",")),1,0)</f>
        <v>1</v>
      </c>
      <c r="H191" s="6" t="n">
        <f aca="false">IF(ISNUMBER(SEARCH(","&amp;H$1&amp;",",","&amp;$D191&amp;",")),1,0)</f>
        <v>0</v>
      </c>
      <c r="I191" s="6" t="n">
        <f aca="false">IF(ISNUMBER(SEARCH(","&amp;I$1&amp;",",","&amp;$D191&amp;",")),1,0)</f>
        <v>0</v>
      </c>
      <c r="J191" s="6" t="n">
        <f aca="false">IF(ISNUMBER(SEARCH(","&amp;J$1&amp;",",","&amp;$D191&amp;",")),1,0)</f>
        <v>0</v>
      </c>
      <c r="K191" s="6" t="n">
        <f aca="false">IF(ISNUMBER(SEARCH(","&amp;K$1&amp;",",","&amp;$D191&amp;",")),1,0)</f>
        <v>0</v>
      </c>
      <c r="L191" s="6" t="n">
        <f aca="false">IF(ISNUMBER(SEARCH(","&amp;L$1&amp;",",","&amp;$D191&amp;",")),1,0)</f>
        <v>0</v>
      </c>
      <c r="M191" s="6" t="n">
        <f aca="false">IF(ISNUMBER(SEARCH(","&amp;M$1&amp;",",","&amp;$D191&amp;",")),1,0)</f>
        <v>1</v>
      </c>
      <c r="N191" s="6" t="n">
        <f aca="false">IF(ISNUMBER(SEARCH(","&amp;N$1&amp;",",","&amp;$D191&amp;",")),1,0)</f>
        <v>0</v>
      </c>
    </row>
    <row r="192" customFormat="false" ht="23.85" hidden="false" customHeight="false" outlineLevel="0" collapsed="false">
      <c r="A192" s="2" t="s">
        <v>527</v>
      </c>
      <c r="B192" s="2" t="s">
        <v>567</v>
      </c>
      <c r="C192" s="3" t="s">
        <v>572</v>
      </c>
      <c r="D192" s="4" t="s">
        <v>32</v>
      </c>
      <c r="E192" s="5" t="s">
        <v>573</v>
      </c>
      <c r="F192" s="6" t="n">
        <f aca="false">IF(ISNUMBER(SEARCH(","&amp;F$1&amp;",",","&amp;$D192&amp;",")),1,0)</f>
        <v>0</v>
      </c>
      <c r="G192" s="6" t="n">
        <f aca="false">IF(ISNUMBER(SEARCH(","&amp;G$1&amp;",",","&amp;$D192&amp;",")),1,0)</f>
        <v>1</v>
      </c>
      <c r="H192" s="6" t="n">
        <f aca="false">IF(ISNUMBER(SEARCH(","&amp;H$1&amp;",",","&amp;$D192&amp;",")),1,0)</f>
        <v>0</v>
      </c>
      <c r="I192" s="6" t="n">
        <f aca="false">IF(ISNUMBER(SEARCH(","&amp;I$1&amp;",",","&amp;$D192&amp;",")),1,0)</f>
        <v>0</v>
      </c>
      <c r="J192" s="6" t="n">
        <f aca="false">IF(ISNUMBER(SEARCH(","&amp;J$1&amp;",",","&amp;$D192&amp;",")),1,0)</f>
        <v>0</v>
      </c>
      <c r="K192" s="6" t="n">
        <f aca="false">IF(ISNUMBER(SEARCH(","&amp;K$1&amp;",",","&amp;$D192&amp;",")),1,0)</f>
        <v>0</v>
      </c>
      <c r="L192" s="6" t="n">
        <f aca="false">IF(ISNUMBER(SEARCH(","&amp;L$1&amp;",",","&amp;$D192&amp;",")),1,0)</f>
        <v>0</v>
      </c>
      <c r="M192" s="6" t="n">
        <f aca="false">IF(ISNUMBER(SEARCH(","&amp;M$1&amp;",",","&amp;$D192&amp;",")),1,0)</f>
        <v>1</v>
      </c>
      <c r="N192" s="6" t="n">
        <f aca="false">IF(ISNUMBER(SEARCH(","&amp;N$1&amp;",",","&amp;$D192&amp;",")),1,0)</f>
        <v>0</v>
      </c>
    </row>
    <row r="193" customFormat="false" ht="23.85" hidden="false" customHeight="false" outlineLevel="0" collapsed="false">
      <c r="A193" s="2" t="s">
        <v>527</v>
      </c>
      <c r="B193" s="2" t="s">
        <v>574</v>
      </c>
      <c r="C193" s="3" t="s">
        <v>575</v>
      </c>
      <c r="D193" s="4" t="s">
        <v>309</v>
      </c>
      <c r="E193" s="5" t="s">
        <v>576</v>
      </c>
      <c r="F193" s="6" t="n">
        <f aca="false">IF(ISNUMBER(SEARCH(","&amp;F$1&amp;",",","&amp;$D193&amp;",")),1,0)</f>
        <v>1</v>
      </c>
      <c r="G193" s="6" t="n">
        <f aca="false">IF(ISNUMBER(SEARCH(","&amp;G$1&amp;",",","&amp;$D193&amp;",")),1,0)</f>
        <v>0</v>
      </c>
      <c r="H193" s="6" t="n">
        <f aca="false">IF(ISNUMBER(SEARCH(","&amp;H$1&amp;",",","&amp;$D193&amp;",")),1,0)</f>
        <v>0</v>
      </c>
      <c r="I193" s="6" t="n">
        <f aca="false">IF(ISNUMBER(SEARCH(","&amp;I$1&amp;",",","&amp;$D193&amp;",")),1,0)</f>
        <v>0</v>
      </c>
      <c r="J193" s="6" t="n">
        <f aca="false">IF(ISNUMBER(SEARCH(","&amp;J$1&amp;",",","&amp;$D193&amp;",")),1,0)</f>
        <v>0</v>
      </c>
      <c r="K193" s="6" t="n">
        <f aca="false">IF(ISNUMBER(SEARCH(","&amp;K$1&amp;",",","&amp;$D193&amp;",")),1,0)</f>
        <v>0</v>
      </c>
      <c r="L193" s="6" t="n">
        <f aca="false">IF(ISNUMBER(SEARCH(","&amp;L$1&amp;",",","&amp;$D193&amp;",")),1,0)</f>
        <v>0</v>
      </c>
      <c r="M193" s="6" t="n">
        <f aca="false">IF(ISNUMBER(SEARCH(","&amp;M$1&amp;",",","&amp;$D193&amp;",")),1,0)</f>
        <v>1</v>
      </c>
      <c r="N193" s="6" t="n">
        <f aca="false">IF(ISNUMBER(SEARCH(","&amp;N$1&amp;",",","&amp;$D193&amp;",")),1,0)</f>
        <v>0</v>
      </c>
    </row>
    <row r="194" customFormat="false" ht="23.85" hidden="false" customHeight="false" outlineLevel="0" collapsed="false">
      <c r="A194" s="2" t="s">
        <v>527</v>
      </c>
      <c r="B194" s="2" t="s">
        <v>577</v>
      </c>
      <c r="C194" s="3" t="s">
        <v>578</v>
      </c>
      <c r="D194" s="4" t="s">
        <v>309</v>
      </c>
      <c r="E194" s="5" t="s">
        <v>579</v>
      </c>
      <c r="F194" s="6" t="n">
        <f aca="false">IF(ISNUMBER(SEARCH(","&amp;F$1&amp;",",","&amp;$D194&amp;",")),1,0)</f>
        <v>1</v>
      </c>
      <c r="G194" s="6" t="n">
        <f aca="false">IF(ISNUMBER(SEARCH(","&amp;G$1&amp;",",","&amp;$D194&amp;",")),1,0)</f>
        <v>0</v>
      </c>
      <c r="H194" s="6" t="n">
        <f aca="false">IF(ISNUMBER(SEARCH(","&amp;H$1&amp;",",","&amp;$D194&amp;",")),1,0)</f>
        <v>0</v>
      </c>
      <c r="I194" s="6" t="n">
        <f aca="false">IF(ISNUMBER(SEARCH(","&amp;I$1&amp;",",","&amp;$D194&amp;",")),1,0)</f>
        <v>0</v>
      </c>
      <c r="J194" s="6" t="n">
        <f aca="false">IF(ISNUMBER(SEARCH(","&amp;J$1&amp;",",","&amp;$D194&amp;",")),1,0)</f>
        <v>0</v>
      </c>
      <c r="K194" s="6" t="n">
        <f aca="false">IF(ISNUMBER(SEARCH(","&amp;K$1&amp;",",","&amp;$D194&amp;",")),1,0)</f>
        <v>0</v>
      </c>
      <c r="L194" s="6" t="n">
        <f aca="false">IF(ISNUMBER(SEARCH(","&amp;L$1&amp;",",","&amp;$D194&amp;",")),1,0)</f>
        <v>0</v>
      </c>
      <c r="M194" s="6" t="n">
        <f aca="false">IF(ISNUMBER(SEARCH(","&amp;M$1&amp;",",","&amp;$D194&amp;",")),1,0)</f>
        <v>1</v>
      </c>
      <c r="N194" s="6" t="n">
        <f aca="false">IF(ISNUMBER(SEARCH(","&amp;N$1&amp;",",","&amp;$D194&amp;",")),1,0)</f>
        <v>0</v>
      </c>
    </row>
    <row r="195" customFormat="false" ht="23.85" hidden="false" customHeight="false" outlineLevel="0" collapsed="false">
      <c r="A195" s="2" t="s">
        <v>527</v>
      </c>
      <c r="B195" s="2" t="s">
        <v>580</v>
      </c>
      <c r="C195" s="3" t="s">
        <v>581</v>
      </c>
      <c r="D195" s="4" t="s">
        <v>309</v>
      </c>
      <c r="E195" s="5" t="s">
        <v>582</v>
      </c>
      <c r="F195" s="6" t="n">
        <f aca="false">IF(ISNUMBER(SEARCH(","&amp;F$1&amp;",",","&amp;$D195&amp;",")),1,0)</f>
        <v>1</v>
      </c>
      <c r="G195" s="6" t="n">
        <f aca="false">IF(ISNUMBER(SEARCH(","&amp;G$1&amp;",",","&amp;$D195&amp;",")),1,0)</f>
        <v>0</v>
      </c>
      <c r="H195" s="6" t="n">
        <f aca="false">IF(ISNUMBER(SEARCH(","&amp;H$1&amp;",",","&amp;$D195&amp;",")),1,0)</f>
        <v>0</v>
      </c>
      <c r="I195" s="6" t="n">
        <f aca="false">IF(ISNUMBER(SEARCH(","&amp;I$1&amp;",",","&amp;$D195&amp;",")),1,0)</f>
        <v>0</v>
      </c>
      <c r="J195" s="6" t="n">
        <f aca="false">IF(ISNUMBER(SEARCH(","&amp;J$1&amp;",",","&amp;$D195&amp;",")),1,0)</f>
        <v>0</v>
      </c>
      <c r="K195" s="6" t="n">
        <f aca="false">IF(ISNUMBER(SEARCH(","&amp;K$1&amp;",",","&amp;$D195&amp;",")),1,0)</f>
        <v>0</v>
      </c>
      <c r="L195" s="6" t="n">
        <f aca="false">IF(ISNUMBER(SEARCH(","&amp;L$1&amp;",",","&amp;$D195&amp;",")),1,0)</f>
        <v>0</v>
      </c>
      <c r="M195" s="6" t="n">
        <f aca="false">IF(ISNUMBER(SEARCH(","&amp;M$1&amp;",",","&amp;$D195&amp;",")),1,0)</f>
        <v>1</v>
      </c>
      <c r="N195" s="6" t="n">
        <f aca="false">IF(ISNUMBER(SEARCH(","&amp;N$1&amp;",",","&amp;$D195&amp;",")),1,0)</f>
        <v>0</v>
      </c>
    </row>
    <row r="196" customFormat="false" ht="23.85" hidden="false" customHeight="false" outlineLevel="0" collapsed="false">
      <c r="A196" s="2" t="s">
        <v>527</v>
      </c>
      <c r="B196" s="2" t="s">
        <v>583</v>
      </c>
      <c r="C196" s="3" t="s">
        <v>584</v>
      </c>
      <c r="D196" s="4" t="s">
        <v>32</v>
      </c>
      <c r="E196" s="5" t="s">
        <v>585</v>
      </c>
      <c r="F196" s="6" t="n">
        <f aca="false">IF(ISNUMBER(SEARCH(","&amp;F$1&amp;",",","&amp;$D196&amp;",")),1,0)</f>
        <v>0</v>
      </c>
      <c r="G196" s="6" t="n">
        <f aca="false">IF(ISNUMBER(SEARCH(","&amp;G$1&amp;",",","&amp;$D196&amp;",")),1,0)</f>
        <v>1</v>
      </c>
      <c r="H196" s="6" t="n">
        <f aca="false">IF(ISNUMBER(SEARCH(","&amp;H$1&amp;",",","&amp;$D196&amp;",")),1,0)</f>
        <v>0</v>
      </c>
      <c r="I196" s="6" t="n">
        <f aca="false">IF(ISNUMBER(SEARCH(","&amp;I$1&amp;",",","&amp;$D196&amp;",")),1,0)</f>
        <v>0</v>
      </c>
      <c r="J196" s="6" t="n">
        <f aca="false">IF(ISNUMBER(SEARCH(","&amp;J$1&amp;",",","&amp;$D196&amp;",")),1,0)</f>
        <v>0</v>
      </c>
      <c r="K196" s="6" t="n">
        <f aca="false">IF(ISNUMBER(SEARCH(","&amp;K$1&amp;",",","&amp;$D196&amp;",")),1,0)</f>
        <v>0</v>
      </c>
      <c r="L196" s="6" t="n">
        <f aca="false">IF(ISNUMBER(SEARCH(","&amp;L$1&amp;",",","&amp;$D196&amp;",")),1,0)</f>
        <v>0</v>
      </c>
      <c r="M196" s="6" t="n">
        <f aca="false">IF(ISNUMBER(SEARCH(","&amp;M$1&amp;",",","&amp;$D196&amp;",")),1,0)</f>
        <v>1</v>
      </c>
      <c r="N196" s="6" t="n">
        <f aca="false">IF(ISNUMBER(SEARCH(","&amp;N$1&amp;",",","&amp;$D196&amp;",")),1,0)</f>
        <v>0</v>
      </c>
    </row>
    <row r="197" customFormat="false" ht="23.85" hidden="false" customHeight="false" outlineLevel="0" collapsed="false">
      <c r="A197" s="2" t="s">
        <v>527</v>
      </c>
      <c r="B197" s="2" t="s">
        <v>583</v>
      </c>
      <c r="C197" s="3" t="s">
        <v>586</v>
      </c>
      <c r="D197" s="4" t="s">
        <v>32</v>
      </c>
      <c r="E197" s="5" t="s">
        <v>587</v>
      </c>
      <c r="F197" s="6" t="n">
        <f aca="false">IF(ISNUMBER(SEARCH(","&amp;F$1&amp;",",","&amp;$D197&amp;",")),1,0)</f>
        <v>0</v>
      </c>
      <c r="G197" s="6" t="n">
        <f aca="false">IF(ISNUMBER(SEARCH(","&amp;G$1&amp;",",","&amp;$D197&amp;",")),1,0)</f>
        <v>1</v>
      </c>
      <c r="H197" s="6" t="n">
        <f aca="false">IF(ISNUMBER(SEARCH(","&amp;H$1&amp;",",","&amp;$D197&amp;",")),1,0)</f>
        <v>0</v>
      </c>
      <c r="I197" s="6" t="n">
        <f aca="false">IF(ISNUMBER(SEARCH(","&amp;I$1&amp;",",","&amp;$D197&amp;",")),1,0)</f>
        <v>0</v>
      </c>
      <c r="J197" s="6" t="n">
        <f aca="false">IF(ISNUMBER(SEARCH(","&amp;J$1&amp;",",","&amp;$D197&amp;",")),1,0)</f>
        <v>0</v>
      </c>
      <c r="K197" s="6" t="n">
        <f aca="false">IF(ISNUMBER(SEARCH(","&amp;K$1&amp;",",","&amp;$D197&amp;",")),1,0)</f>
        <v>0</v>
      </c>
      <c r="L197" s="6" t="n">
        <f aca="false">IF(ISNUMBER(SEARCH(","&amp;L$1&amp;",",","&amp;$D197&amp;",")),1,0)</f>
        <v>0</v>
      </c>
      <c r="M197" s="6" t="n">
        <f aca="false">IF(ISNUMBER(SEARCH(","&amp;M$1&amp;",",","&amp;$D197&amp;",")),1,0)</f>
        <v>1</v>
      </c>
      <c r="N197" s="6" t="n">
        <f aca="false">IF(ISNUMBER(SEARCH(","&amp;N$1&amp;",",","&amp;$D197&amp;",")),1,0)</f>
        <v>0</v>
      </c>
    </row>
    <row r="198" customFormat="false" ht="23.85" hidden="false" customHeight="false" outlineLevel="0" collapsed="false">
      <c r="A198" s="2" t="s">
        <v>527</v>
      </c>
      <c r="B198" s="2" t="s">
        <v>583</v>
      </c>
      <c r="C198" s="3" t="s">
        <v>588</v>
      </c>
      <c r="D198" s="4" t="s">
        <v>32</v>
      </c>
      <c r="E198" s="5" t="s">
        <v>589</v>
      </c>
      <c r="F198" s="6" t="n">
        <f aca="false">IF(ISNUMBER(SEARCH(","&amp;F$1&amp;",",","&amp;$D198&amp;",")),1,0)</f>
        <v>0</v>
      </c>
      <c r="G198" s="6" t="n">
        <f aca="false">IF(ISNUMBER(SEARCH(","&amp;G$1&amp;",",","&amp;$D198&amp;",")),1,0)</f>
        <v>1</v>
      </c>
      <c r="H198" s="6" t="n">
        <f aca="false">IF(ISNUMBER(SEARCH(","&amp;H$1&amp;",",","&amp;$D198&amp;",")),1,0)</f>
        <v>0</v>
      </c>
      <c r="I198" s="6" t="n">
        <f aca="false">IF(ISNUMBER(SEARCH(","&amp;I$1&amp;",",","&amp;$D198&amp;",")),1,0)</f>
        <v>0</v>
      </c>
      <c r="J198" s="6" t="n">
        <f aca="false">IF(ISNUMBER(SEARCH(","&amp;J$1&amp;",",","&amp;$D198&amp;",")),1,0)</f>
        <v>0</v>
      </c>
      <c r="K198" s="6" t="n">
        <f aca="false">IF(ISNUMBER(SEARCH(","&amp;K$1&amp;",",","&amp;$D198&amp;",")),1,0)</f>
        <v>0</v>
      </c>
      <c r="L198" s="6" t="n">
        <f aca="false">IF(ISNUMBER(SEARCH(","&amp;L$1&amp;",",","&amp;$D198&amp;",")),1,0)</f>
        <v>0</v>
      </c>
      <c r="M198" s="6" t="n">
        <f aca="false">IF(ISNUMBER(SEARCH(","&amp;M$1&amp;",",","&amp;$D198&amp;",")),1,0)</f>
        <v>1</v>
      </c>
      <c r="N198" s="6" t="n">
        <f aca="false">IF(ISNUMBER(SEARCH(","&amp;N$1&amp;",",","&amp;$D198&amp;",")),1,0)</f>
        <v>0</v>
      </c>
    </row>
    <row r="199" customFormat="false" ht="23.85" hidden="false" customHeight="false" outlineLevel="0" collapsed="false">
      <c r="A199" s="2" t="s">
        <v>527</v>
      </c>
      <c r="B199" s="2" t="s">
        <v>590</v>
      </c>
      <c r="C199" s="3" t="s">
        <v>591</v>
      </c>
      <c r="D199" s="4" t="s">
        <v>309</v>
      </c>
      <c r="E199" s="5" t="s">
        <v>592</v>
      </c>
      <c r="F199" s="6" t="n">
        <f aca="false">IF(ISNUMBER(SEARCH(","&amp;F$1&amp;",",","&amp;$D199&amp;",")),1,0)</f>
        <v>1</v>
      </c>
      <c r="G199" s="6" t="n">
        <f aca="false">IF(ISNUMBER(SEARCH(","&amp;G$1&amp;",",","&amp;$D199&amp;",")),1,0)</f>
        <v>0</v>
      </c>
      <c r="H199" s="6" t="n">
        <f aca="false">IF(ISNUMBER(SEARCH(","&amp;H$1&amp;",",","&amp;$D199&amp;",")),1,0)</f>
        <v>0</v>
      </c>
      <c r="I199" s="6" t="n">
        <f aca="false">IF(ISNUMBER(SEARCH(","&amp;I$1&amp;",",","&amp;$D199&amp;",")),1,0)</f>
        <v>0</v>
      </c>
      <c r="J199" s="6" t="n">
        <f aca="false">IF(ISNUMBER(SEARCH(","&amp;J$1&amp;",",","&amp;$D199&amp;",")),1,0)</f>
        <v>0</v>
      </c>
      <c r="K199" s="6" t="n">
        <f aca="false">IF(ISNUMBER(SEARCH(","&amp;K$1&amp;",",","&amp;$D199&amp;",")),1,0)</f>
        <v>0</v>
      </c>
      <c r="L199" s="6" t="n">
        <f aca="false">IF(ISNUMBER(SEARCH(","&amp;L$1&amp;",",","&amp;$D199&amp;",")),1,0)</f>
        <v>0</v>
      </c>
      <c r="M199" s="6" t="n">
        <f aca="false">IF(ISNUMBER(SEARCH(","&amp;M$1&amp;",",","&amp;$D199&amp;",")),1,0)</f>
        <v>1</v>
      </c>
      <c r="N199" s="6" t="n">
        <f aca="false">IF(ISNUMBER(SEARCH(","&amp;N$1&amp;",",","&amp;$D199&amp;",")),1,0)</f>
        <v>0</v>
      </c>
    </row>
    <row r="200" customFormat="false" ht="23.85" hidden="false" customHeight="false" outlineLevel="0" collapsed="false">
      <c r="A200" s="2" t="s">
        <v>527</v>
      </c>
      <c r="B200" s="2" t="s">
        <v>593</v>
      </c>
      <c r="C200" s="3" t="s">
        <v>594</v>
      </c>
      <c r="D200" s="4" t="s">
        <v>309</v>
      </c>
      <c r="E200" s="5" t="s">
        <v>595</v>
      </c>
      <c r="F200" s="6" t="n">
        <f aca="false">IF(ISNUMBER(SEARCH(","&amp;F$1&amp;",",","&amp;$D200&amp;",")),1,0)</f>
        <v>1</v>
      </c>
      <c r="G200" s="6" t="n">
        <f aca="false">IF(ISNUMBER(SEARCH(","&amp;G$1&amp;",",","&amp;$D200&amp;",")),1,0)</f>
        <v>0</v>
      </c>
      <c r="H200" s="6" t="n">
        <f aca="false">IF(ISNUMBER(SEARCH(","&amp;H$1&amp;",",","&amp;$D200&amp;",")),1,0)</f>
        <v>0</v>
      </c>
      <c r="I200" s="6" t="n">
        <f aca="false">IF(ISNUMBER(SEARCH(","&amp;I$1&amp;",",","&amp;$D200&amp;",")),1,0)</f>
        <v>0</v>
      </c>
      <c r="J200" s="6" t="n">
        <f aca="false">IF(ISNUMBER(SEARCH(","&amp;J$1&amp;",",","&amp;$D200&amp;",")),1,0)</f>
        <v>0</v>
      </c>
      <c r="K200" s="6" t="n">
        <f aca="false">IF(ISNUMBER(SEARCH(","&amp;K$1&amp;",",","&amp;$D200&amp;",")),1,0)</f>
        <v>0</v>
      </c>
      <c r="L200" s="6" t="n">
        <f aca="false">IF(ISNUMBER(SEARCH(","&amp;L$1&amp;",",","&amp;$D200&amp;",")),1,0)</f>
        <v>0</v>
      </c>
      <c r="M200" s="6" t="n">
        <f aca="false">IF(ISNUMBER(SEARCH(","&amp;M$1&amp;",",","&amp;$D200&amp;",")),1,0)</f>
        <v>1</v>
      </c>
      <c r="N200" s="6" t="n">
        <f aca="false">IF(ISNUMBER(SEARCH(","&amp;N$1&amp;",",","&amp;$D200&amp;",")),1,0)</f>
        <v>0</v>
      </c>
    </row>
    <row r="201" customFormat="false" ht="23.85" hidden="false" customHeight="false" outlineLevel="0" collapsed="false">
      <c r="A201" s="2" t="s">
        <v>527</v>
      </c>
      <c r="B201" s="2" t="s">
        <v>593</v>
      </c>
      <c r="C201" s="3" t="s">
        <v>596</v>
      </c>
      <c r="D201" s="4" t="s">
        <v>309</v>
      </c>
      <c r="E201" s="5" t="s">
        <v>597</v>
      </c>
      <c r="F201" s="6" t="n">
        <f aca="false">IF(ISNUMBER(SEARCH(","&amp;F$1&amp;",",","&amp;$D201&amp;",")),1,0)</f>
        <v>1</v>
      </c>
      <c r="G201" s="6" t="n">
        <f aca="false">IF(ISNUMBER(SEARCH(","&amp;G$1&amp;",",","&amp;$D201&amp;",")),1,0)</f>
        <v>0</v>
      </c>
      <c r="H201" s="6" t="n">
        <f aca="false">IF(ISNUMBER(SEARCH(","&amp;H$1&amp;",",","&amp;$D201&amp;",")),1,0)</f>
        <v>0</v>
      </c>
      <c r="I201" s="6" t="n">
        <f aca="false">IF(ISNUMBER(SEARCH(","&amp;I$1&amp;",",","&amp;$D201&amp;",")),1,0)</f>
        <v>0</v>
      </c>
      <c r="J201" s="6" t="n">
        <f aca="false">IF(ISNUMBER(SEARCH(","&amp;J$1&amp;",",","&amp;$D201&amp;",")),1,0)</f>
        <v>0</v>
      </c>
      <c r="K201" s="6" t="n">
        <f aca="false">IF(ISNUMBER(SEARCH(","&amp;K$1&amp;",",","&amp;$D201&amp;",")),1,0)</f>
        <v>0</v>
      </c>
      <c r="L201" s="6" t="n">
        <f aca="false">IF(ISNUMBER(SEARCH(","&amp;L$1&amp;",",","&amp;$D201&amp;",")),1,0)</f>
        <v>0</v>
      </c>
      <c r="M201" s="6" t="n">
        <f aca="false">IF(ISNUMBER(SEARCH(","&amp;M$1&amp;",",","&amp;$D201&amp;",")),1,0)</f>
        <v>1</v>
      </c>
      <c r="N201" s="6" t="n">
        <f aca="false">IF(ISNUMBER(SEARCH(","&amp;N$1&amp;",",","&amp;$D201&amp;",")),1,0)</f>
        <v>0</v>
      </c>
    </row>
    <row r="202" customFormat="false" ht="23.85" hidden="false" customHeight="false" outlineLevel="0" collapsed="false">
      <c r="A202" s="2" t="s">
        <v>527</v>
      </c>
      <c r="B202" s="2" t="s">
        <v>593</v>
      </c>
      <c r="C202" s="3" t="s">
        <v>598</v>
      </c>
      <c r="D202" s="4" t="s">
        <v>404</v>
      </c>
      <c r="E202" s="5" t="s">
        <v>599</v>
      </c>
      <c r="F202" s="6" t="n">
        <f aca="false">IF(ISNUMBER(SEARCH(","&amp;F$1&amp;",",","&amp;$D202&amp;",")),1,0)</f>
        <v>0</v>
      </c>
      <c r="G202" s="6" t="n">
        <f aca="false">IF(ISNUMBER(SEARCH(","&amp;G$1&amp;",",","&amp;$D202&amp;",")),1,0)</f>
        <v>0</v>
      </c>
      <c r="H202" s="6" t="n">
        <f aca="false">IF(ISNUMBER(SEARCH(","&amp;H$1&amp;",",","&amp;$D202&amp;",")),1,0)</f>
        <v>0</v>
      </c>
      <c r="I202" s="6" t="n">
        <f aca="false">IF(ISNUMBER(SEARCH(","&amp;I$1&amp;",",","&amp;$D202&amp;",")),1,0)</f>
        <v>1</v>
      </c>
      <c r="J202" s="6" t="n">
        <f aca="false">IF(ISNUMBER(SEARCH(","&amp;J$1&amp;",",","&amp;$D202&amp;",")),1,0)</f>
        <v>0</v>
      </c>
      <c r="K202" s="6" t="n">
        <f aca="false">IF(ISNUMBER(SEARCH(","&amp;K$1&amp;",",","&amp;$D202&amp;",")),1,0)</f>
        <v>0</v>
      </c>
      <c r="L202" s="6" t="n">
        <f aca="false">IF(ISNUMBER(SEARCH(","&amp;L$1&amp;",",","&amp;$D202&amp;",")),1,0)</f>
        <v>0</v>
      </c>
      <c r="M202" s="6" t="n">
        <f aca="false">IF(ISNUMBER(SEARCH(","&amp;M$1&amp;",",","&amp;$D202&amp;",")),1,0)</f>
        <v>1</v>
      </c>
      <c r="N202" s="6" t="n">
        <f aca="false">IF(ISNUMBER(SEARCH(","&amp;N$1&amp;",",","&amp;$D202&amp;",")),1,0)</f>
        <v>0</v>
      </c>
    </row>
    <row r="203" customFormat="false" ht="23.85" hidden="false" customHeight="false" outlineLevel="0" collapsed="false">
      <c r="A203" s="2" t="s">
        <v>527</v>
      </c>
      <c r="B203" s="2" t="s">
        <v>600</v>
      </c>
      <c r="C203" s="3" t="s">
        <v>601</v>
      </c>
      <c r="D203" s="4" t="s">
        <v>309</v>
      </c>
      <c r="E203" s="5" t="s">
        <v>602</v>
      </c>
      <c r="F203" s="6" t="n">
        <f aca="false">IF(ISNUMBER(SEARCH(","&amp;F$1&amp;",",","&amp;$D203&amp;",")),1,0)</f>
        <v>1</v>
      </c>
      <c r="G203" s="6" t="n">
        <f aca="false">IF(ISNUMBER(SEARCH(","&amp;G$1&amp;",",","&amp;$D203&amp;",")),1,0)</f>
        <v>0</v>
      </c>
      <c r="H203" s="6" t="n">
        <f aca="false">IF(ISNUMBER(SEARCH(","&amp;H$1&amp;",",","&amp;$D203&amp;",")),1,0)</f>
        <v>0</v>
      </c>
      <c r="I203" s="6" t="n">
        <f aca="false">IF(ISNUMBER(SEARCH(","&amp;I$1&amp;",",","&amp;$D203&amp;",")),1,0)</f>
        <v>0</v>
      </c>
      <c r="J203" s="6" t="n">
        <f aca="false">IF(ISNUMBER(SEARCH(","&amp;J$1&amp;",",","&amp;$D203&amp;",")),1,0)</f>
        <v>0</v>
      </c>
      <c r="K203" s="6" t="n">
        <f aca="false">IF(ISNUMBER(SEARCH(","&amp;K$1&amp;",",","&amp;$D203&amp;",")),1,0)</f>
        <v>0</v>
      </c>
      <c r="L203" s="6" t="n">
        <f aca="false">IF(ISNUMBER(SEARCH(","&amp;L$1&amp;",",","&amp;$D203&amp;",")),1,0)</f>
        <v>0</v>
      </c>
      <c r="M203" s="6" t="n">
        <f aca="false">IF(ISNUMBER(SEARCH(","&amp;M$1&amp;",",","&amp;$D203&amp;",")),1,0)</f>
        <v>1</v>
      </c>
      <c r="N203" s="6" t="n">
        <f aca="false">IF(ISNUMBER(SEARCH(","&amp;N$1&amp;",",","&amp;$D203&amp;",")),1,0)</f>
        <v>0</v>
      </c>
    </row>
    <row r="204" customFormat="false" ht="23.85" hidden="false" customHeight="false" outlineLevel="0" collapsed="false">
      <c r="A204" s="2" t="s">
        <v>527</v>
      </c>
      <c r="B204" s="2" t="s">
        <v>600</v>
      </c>
      <c r="C204" s="3" t="s">
        <v>603</v>
      </c>
      <c r="D204" s="4" t="s">
        <v>404</v>
      </c>
      <c r="E204" s="5" t="s">
        <v>604</v>
      </c>
      <c r="F204" s="6" t="n">
        <f aca="false">IF(ISNUMBER(SEARCH(","&amp;F$1&amp;",",","&amp;$D204&amp;",")),1,0)</f>
        <v>0</v>
      </c>
      <c r="G204" s="6" t="n">
        <f aca="false">IF(ISNUMBER(SEARCH(","&amp;G$1&amp;",",","&amp;$D204&amp;",")),1,0)</f>
        <v>0</v>
      </c>
      <c r="H204" s="6" t="n">
        <f aca="false">IF(ISNUMBER(SEARCH(","&amp;H$1&amp;",",","&amp;$D204&amp;",")),1,0)</f>
        <v>0</v>
      </c>
      <c r="I204" s="6" t="n">
        <f aca="false">IF(ISNUMBER(SEARCH(","&amp;I$1&amp;",",","&amp;$D204&amp;",")),1,0)</f>
        <v>1</v>
      </c>
      <c r="J204" s="6" t="n">
        <f aca="false">IF(ISNUMBER(SEARCH(","&amp;J$1&amp;",",","&amp;$D204&amp;",")),1,0)</f>
        <v>0</v>
      </c>
      <c r="K204" s="6" t="n">
        <f aca="false">IF(ISNUMBER(SEARCH(","&amp;K$1&amp;",",","&amp;$D204&amp;",")),1,0)</f>
        <v>0</v>
      </c>
      <c r="L204" s="6" t="n">
        <f aca="false">IF(ISNUMBER(SEARCH(","&amp;L$1&amp;",",","&amp;$D204&amp;",")),1,0)</f>
        <v>0</v>
      </c>
      <c r="M204" s="6" t="n">
        <f aca="false">IF(ISNUMBER(SEARCH(","&amp;M$1&amp;",",","&amp;$D204&amp;",")),1,0)</f>
        <v>1</v>
      </c>
      <c r="N204" s="6" t="n">
        <f aca="false">IF(ISNUMBER(SEARCH(","&amp;N$1&amp;",",","&amp;$D204&amp;",")),1,0)</f>
        <v>0</v>
      </c>
    </row>
    <row r="205" customFormat="false" ht="15" hidden="false" customHeight="false" outlineLevel="0" collapsed="false">
      <c r="A205" s="2" t="s">
        <v>527</v>
      </c>
      <c r="B205" s="2" t="s">
        <v>605</v>
      </c>
      <c r="C205" s="3" t="s">
        <v>606</v>
      </c>
      <c r="D205" s="4" t="s">
        <v>309</v>
      </c>
      <c r="E205" s="5" t="s">
        <v>607</v>
      </c>
      <c r="F205" s="6" t="n">
        <f aca="false">IF(ISNUMBER(SEARCH(","&amp;F$1&amp;",",","&amp;$D205&amp;",")),1,0)</f>
        <v>1</v>
      </c>
      <c r="G205" s="6" t="n">
        <f aca="false">IF(ISNUMBER(SEARCH(","&amp;G$1&amp;",",","&amp;$D205&amp;",")),1,0)</f>
        <v>0</v>
      </c>
      <c r="H205" s="6" t="n">
        <f aca="false">IF(ISNUMBER(SEARCH(","&amp;H$1&amp;",",","&amp;$D205&amp;",")),1,0)</f>
        <v>0</v>
      </c>
      <c r="I205" s="6" t="n">
        <f aca="false">IF(ISNUMBER(SEARCH(","&amp;I$1&amp;",",","&amp;$D205&amp;",")),1,0)</f>
        <v>0</v>
      </c>
      <c r="J205" s="6" t="n">
        <f aca="false">IF(ISNUMBER(SEARCH(","&amp;J$1&amp;",",","&amp;$D205&amp;",")),1,0)</f>
        <v>0</v>
      </c>
      <c r="K205" s="6" t="n">
        <f aca="false">IF(ISNUMBER(SEARCH(","&amp;K$1&amp;",",","&amp;$D205&amp;",")),1,0)</f>
        <v>0</v>
      </c>
      <c r="L205" s="6" t="n">
        <f aca="false">IF(ISNUMBER(SEARCH(","&amp;L$1&amp;",",","&amp;$D205&amp;",")),1,0)</f>
        <v>0</v>
      </c>
      <c r="M205" s="6" t="n">
        <f aca="false">IF(ISNUMBER(SEARCH(","&amp;M$1&amp;",",","&amp;$D205&amp;",")),1,0)</f>
        <v>1</v>
      </c>
      <c r="N205" s="6" t="n">
        <f aca="false">IF(ISNUMBER(SEARCH(","&amp;N$1&amp;",",","&amp;$D205&amp;",")),1,0)</f>
        <v>0</v>
      </c>
    </row>
    <row r="206" customFormat="false" ht="23.85" hidden="false" customHeight="false" outlineLevel="0" collapsed="false">
      <c r="A206" s="2" t="s">
        <v>527</v>
      </c>
      <c r="B206" s="2" t="s">
        <v>605</v>
      </c>
      <c r="C206" s="3" t="s">
        <v>608</v>
      </c>
      <c r="D206" s="4" t="s">
        <v>32</v>
      </c>
      <c r="E206" s="5" t="s">
        <v>609</v>
      </c>
      <c r="F206" s="6" t="n">
        <f aca="false">IF(ISNUMBER(SEARCH(","&amp;F$1&amp;",",","&amp;$D206&amp;",")),1,0)</f>
        <v>0</v>
      </c>
      <c r="G206" s="6" t="n">
        <f aca="false">IF(ISNUMBER(SEARCH(","&amp;G$1&amp;",",","&amp;$D206&amp;",")),1,0)</f>
        <v>1</v>
      </c>
      <c r="H206" s="6" t="n">
        <f aca="false">IF(ISNUMBER(SEARCH(","&amp;H$1&amp;",",","&amp;$D206&amp;",")),1,0)</f>
        <v>0</v>
      </c>
      <c r="I206" s="6" t="n">
        <f aca="false">IF(ISNUMBER(SEARCH(","&amp;I$1&amp;",",","&amp;$D206&amp;",")),1,0)</f>
        <v>0</v>
      </c>
      <c r="J206" s="6" t="n">
        <f aca="false">IF(ISNUMBER(SEARCH(","&amp;J$1&amp;",",","&amp;$D206&amp;",")),1,0)</f>
        <v>0</v>
      </c>
      <c r="K206" s="6" t="n">
        <f aca="false">IF(ISNUMBER(SEARCH(","&amp;K$1&amp;",",","&amp;$D206&amp;",")),1,0)</f>
        <v>0</v>
      </c>
      <c r="L206" s="6" t="n">
        <f aca="false">IF(ISNUMBER(SEARCH(","&amp;L$1&amp;",",","&amp;$D206&amp;",")),1,0)</f>
        <v>0</v>
      </c>
      <c r="M206" s="6" t="n">
        <f aca="false">IF(ISNUMBER(SEARCH(","&amp;M$1&amp;",",","&amp;$D206&amp;",")),1,0)</f>
        <v>1</v>
      </c>
      <c r="N206" s="6" t="n">
        <f aca="false">IF(ISNUMBER(SEARCH(","&amp;N$1&amp;",",","&amp;$D206&amp;",")),1,0)</f>
        <v>0</v>
      </c>
    </row>
    <row r="207" customFormat="false" ht="23.85" hidden="false" customHeight="false" outlineLevel="0" collapsed="false">
      <c r="A207" s="2" t="s">
        <v>527</v>
      </c>
      <c r="B207" s="2" t="s">
        <v>605</v>
      </c>
      <c r="C207" s="3" t="s">
        <v>610</v>
      </c>
      <c r="D207" s="4" t="s">
        <v>404</v>
      </c>
      <c r="E207" s="5" t="s">
        <v>611</v>
      </c>
      <c r="F207" s="6" t="n">
        <f aca="false">IF(ISNUMBER(SEARCH(","&amp;F$1&amp;",",","&amp;$D207&amp;",")),1,0)</f>
        <v>0</v>
      </c>
      <c r="G207" s="6" t="n">
        <f aca="false">IF(ISNUMBER(SEARCH(","&amp;G$1&amp;",",","&amp;$D207&amp;",")),1,0)</f>
        <v>0</v>
      </c>
      <c r="H207" s="6" t="n">
        <f aca="false">IF(ISNUMBER(SEARCH(","&amp;H$1&amp;",",","&amp;$D207&amp;",")),1,0)</f>
        <v>0</v>
      </c>
      <c r="I207" s="6" t="n">
        <f aca="false">IF(ISNUMBER(SEARCH(","&amp;I$1&amp;",",","&amp;$D207&amp;",")),1,0)</f>
        <v>1</v>
      </c>
      <c r="J207" s="6" t="n">
        <f aca="false">IF(ISNUMBER(SEARCH(","&amp;J$1&amp;",",","&amp;$D207&amp;",")),1,0)</f>
        <v>0</v>
      </c>
      <c r="K207" s="6" t="n">
        <f aca="false">IF(ISNUMBER(SEARCH(","&amp;K$1&amp;",",","&amp;$D207&amp;",")),1,0)</f>
        <v>0</v>
      </c>
      <c r="L207" s="6" t="n">
        <f aca="false">IF(ISNUMBER(SEARCH(","&amp;L$1&amp;",",","&amp;$D207&amp;",")),1,0)</f>
        <v>0</v>
      </c>
      <c r="M207" s="6" t="n">
        <f aca="false">IF(ISNUMBER(SEARCH(","&amp;M$1&amp;",",","&amp;$D207&amp;",")),1,0)</f>
        <v>1</v>
      </c>
      <c r="N207" s="6" t="n">
        <f aca="false">IF(ISNUMBER(SEARCH(","&amp;N$1&amp;",",","&amp;$D207&amp;",")),1,0)</f>
        <v>0</v>
      </c>
    </row>
    <row r="208" customFormat="false" ht="23.85" hidden="false" customHeight="false" outlineLevel="0" collapsed="false">
      <c r="A208" s="2" t="s">
        <v>527</v>
      </c>
      <c r="B208" s="2" t="s">
        <v>612</v>
      </c>
      <c r="C208" s="3" t="s">
        <v>613</v>
      </c>
      <c r="D208" s="4" t="s">
        <v>309</v>
      </c>
      <c r="E208" s="5" t="s">
        <v>614</v>
      </c>
      <c r="F208" s="6" t="n">
        <f aca="false">IF(ISNUMBER(SEARCH(","&amp;F$1&amp;",",","&amp;$D208&amp;",")),1,0)</f>
        <v>1</v>
      </c>
      <c r="G208" s="6" t="n">
        <f aca="false">IF(ISNUMBER(SEARCH(","&amp;G$1&amp;",",","&amp;$D208&amp;",")),1,0)</f>
        <v>0</v>
      </c>
      <c r="H208" s="6" t="n">
        <f aca="false">IF(ISNUMBER(SEARCH(","&amp;H$1&amp;",",","&amp;$D208&amp;",")),1,0)</f>
        <v>0</v>
      </c>
      <c r="I208" s="6" t="n">
        <f aca="false">IF(ISNUMBER(SEARCH(","&amp;I$1&amp;",",","&amp;$D208&amp;",")),1,0)</f>
        <v>0</v>
      </c>
      <c r="J208" s="6" t="n">
        <f aca="false">IF(ISNUMBER(SEARCH(","&amp;J$1&amp;",",","&amp;$D208&amp;",")),1,0)</f>
        <v>0</v>
      </c>
      <c r="K208" s="6" t="n">
        <f aca="false">IF(ISNUMBER(SEARCH(","&amp;K$1&amp;",",","&amp;$D208&amp;",")),1,0)</f>
        <v>0</v>
      </c>
      <c r="L208" s="6" t="n">
        <f aca="false">IF(ISNUMBER(SEARCH(","&amp;L$1&amp;",",","&amp;$D208&amp;",")),1,0)</f>
        <v>0</v>
      </c>
      <c r="M208" s="6" t="n">
        <f aca="false">IF(ISNUMBER(SEARCH(","&amp;M$1&amp;",",","&amp;$D208&amp;",")),1,0)</f>
        <v>1</v>
      </c>
      <c r="N208" s="6" t="n">
        <f aca="false">IF(ISNUMBER(SEARCH(","&amp;N$1&amp;",",","&amp;$D208&amp;",")),1,0)</f>
        <v>0</v>
      </c>
    </row>
    <row r="209" customFormat="false" ht="15" hidden="false" customHeight="false" outlineLevel="0" collapsed="false">
      <c r="A209" s="2" t="s">
        <v>527</v>
      </c>
      <c r="B209" s="2" t="s">
        <v>612</v>
      </c>
      <c r="C209" s="3" t="s">
        <v>615</v>
      </c>
      <c r="D209" s="4" t="s">
        <v>404</v>
      </c>
      <c r="E209" s="5" t="s">
        <v>616</v>
      </c>
      <c r="F209" s="6" t="n">
        <f aca="false">IF(ISNUMBER(SEARCH(","&amp;F$1&amp;",",","&amp;$D209&amp;",")),1,0)</f>
        <v>0</v>
      </c>
      <c r="G209" s="6" t="n">
        <f aca="false">IF(ISNUMBER(SEARCH(","&amp;G$1&amp;",",","&amp;$D209&amp;",")),1,0)</f>
        <v>0</v>
      </c>
      <c r="H209" s="6" t="n">
        <f aca="false">IF(ISNUMBER(SEARCH(","&amp;H$1&amp;",",","&amp;$D209&amp;",")),1,0)</f>
        <v>0</v>
      </c>
      <c r="I209" s="6" t="n">
        <f aca="false">IF(ISNUMBER(SEARCH(","&amp;I$1&amp;",",","&amp;$D209&amp;",")),1,0)</f>
        <v>1</v>
      </c>
      <c r="J209" s="6" t="n">
        <f aca="false">IF(ISNUMBER(SEARCH(","&amp;J$1&amp;",",","&amp;$D209&amp;",")),1,0)</f>
        <v>0</v>
      </c>
      <c r="K209" s="6" t="n">
        <f aca="false">IF(ISNUMBER(SEARCH(","&amp;K$1&amp;",",","&amp;$D209&amp;",")),1,0)</f>
        <v>0</v>
      </c>
      <c r="L209" s="6" t="n">
        <f aca="false">IF(ISNUMBER(SEARCH(","&amp;L$1&amp;",",","&amp;$D209&amp;",")),1,0)</f>
        <v>0</v>
      </c>
      <c r="M209" s="6" t="n">
        <f aca="false">IF(ISNUMBER(SEARCH(","&amp;M$1&amp;",",","&amp;$D209&amp;",")),1,0)</f>
        <v>1</v>
      </c>
      <c r="N209" s="6" t="n">
        <f aca="false">IF(ISNUMBER(SEARCH(","&amp;N$1&amp;",",","&amp;$D209&amp;",")),1,0)</f>
        <v>0</v>
      </c>
    </row>
    <row r="210" customFormat="false" ht="23.85" hidden="false" customHeight="false" outlineLevel="0" collapsed="false">
      <c r="A210" s="2" t="s">
        <v>527</v>
      </c>
      <c r="B210" s="2" t="s">
        <v>617</v>
      </c>
      <c r="C210" s="3" t="s">
        <v>618</v>
      </c>
      <c r="D210" s="4" t="s">
        <v>619</v>
      </c>
      <c r="E210" s="5" t="s">
        <v>620</v>
      </c>
      <c r="F210" s="6" t="n">
        <f aca="false">IF(ISNUMBER(SEARCH(","&amp;F$1&amp;",",","&amp;$D210&amp;",")),1,0)</f>
        <v>0</v>
      </c>
      <c r="G210" s="6" t="n">
        <f aca="false">IF(ISNUMBER(SEARCH(","&amp;G$1&amp;",",","&amp;$D210&amp;",")),1,0)</f>
        <v>0</v>
      </c>
      <c r="H210" s="6" t="n">
        <f aca="false">IF(ISNUMBER(SEARCH(","&amp;H$1&amp;",",","&amp;$D210&amp;",")),1,0)</f>
        <v>0</v>
      </c>
      <c r="I210" s="6" t="n">
        <f aca="false">IF(ISNUMBER(SEARCH(","&amp;I$1&amp;",",","&amp;$D210&amp;",")),1,0)</f>
        <v>0</v>
      </c>
      <c r="J210" s="6" t="n">
        <f aca="false">IF(ISNUMBER(SEARCH(","&amp;J$1&amp;",",","&amp;$D210&amp;",")),1,0)</f>
        <v>0</v>
      </c>
      <c r="K210" s="6" t="n">
        <f aca="false">IF(ISNUMBER(SEARCH(","&amp;K$1&amp;",",","&amp;$D210&amp;",")),1,0)</f>
        <v>0</v>
      </c>
      <c r="L210" s="6" t="n">
        <f aca="false">IF(ISNUMBER(SEARCH(","&amp;L$1&amp;",",","&amp;$D210&amp;",")),1,0)</f>
        <v>0</v>
      </c>
      <c r="M210" s="6" t="n">
        <f aca="false">IF(ISNUMBER(SEARCH(","&amp;M$1&amp;",",","&amp;$D210&amp;",")),1,0)</f>
        <v>1</v>
      </c>
      <c r="N210" s="6" t="n">
        <f aca="false">IF(ISNUMBER(SEARCH(","&amp;N$1&amp;",",","&amp;$D210&amp;",")),1,0)</f>
        <v>1</v>
      </c>
    </row>
    <row r="211" customFormat="false" ht="23.85" hidden="false" customHeight="false" outlineLevel="0" collapsed="false">
      <c r="A211" s="2" t="s">
        <v>527</v>
      </c>
      <c r="B211" s="2" t="s">
        <v>617</v>
      </c>
      <c r="C211" s="3" t="s">
        <v>621</v>
      </c>
      <c r="D211" s="4" t="s">
        <v>619</v>
      </c>
      <c r="E211" s="5" t="s">
        <v>622</v>
      </c>
      <c r="F211" s="6" t="n">
        <f aca="false">IF(ISNUMBER(SEARCH(","&amp;F$1&amp;",",","&amp;$D211&amp;",")),1,0)</f>
        <v>0</v>
      </c>
      <c r="G211" s="6" t="n">
        <f aca="false">IF(ISNUMBER(SEARCH(","&amp;G$1&amp;",",","&amp;$D211&amp;",")),1,0)</f>
        <v>0</v>
      </c>
      <c r="H211" s="6" t="n">
        <f aca="false">IF(ISNUMBER(SEARCH(","&amp;H$1&amp;",",","&amp;$D211&amp;",")),1,0)</f>
        <v>0</v>
      </c>
      <c r="I211" s="6" t="n">
        <f aca="false">IF(ISNUMBER(SEARCH(","&amp;I$1&amp;",",","&amp;$D211&amp;",")),1,0)</f>
        <v>0</v>
      </c>
      <c r="J211" s="6" t="n">
        <f aca="false">IF(ISNUMBER(SEARCH(","&amp;J$1&amp;",",","&amp;$D211&amp;",")),1,0)</f>
        <v>0</v>
      </c>
      <c r="K211" s="6" t="n">
        <f aca="false">IF(ISNUMBER(SEARCH(","&amp;K$1&amp;",",","&amp;$D211&amp;",")),1,0)</f>
        <v>0</v>
      </c>
      <c r="L211" s="6" t="n">
        <f aca="false">IF(ISNUMBER(SEARCH(","&amp;L$1&amp;",",","&amp;$D211&amp;",")),1,0)</f>
        <v>0</v>
      </c>
      <c r="M211" s="6" t="n">
        <f aca="false">IF(ISNUMBER(SEARCH(","&amp;M$1&amp;",",","&amp;$D211&amp;",")),1,0)</f>
        <v>1</v>
      </c>
      <c r="N211" s="6" t="n">
        <f aca="false">IF(ISNUMBER(SEARCH(","&amp;N$1&amp;",",","&amp;$D211&amp;",")),1,0)</f>
        <v>1</v>
      </c>
    </row>
    <row r="212" customFormat="false" ht="23.85" hidden="false" customHeight="false" outlineLevel="0" collapsed="false">
      <c r="A212" s="2" t="s">
        <v>527</v>
      </c>
      <c r="B212" s="2" t="s">
        <v>623</v>
      </c>
      <c r="C212" s="3" t="s">
        <v>624</v>
      </c>
      <c r="D212" s="4" t="s">
        <v>625</v>
      </c>
      <c r="E212" s="5" t="s">
        <v>626</v>
      </c>
      <c r="F212" s="6" t="n">
        <f aca="false">IF(ISNUMBER(SEARCH(","&amp;F$1&amp;",",","&amp;$D212&amp;",")),1,0)</f>
        <v>0</v>
      </c>
      <c r="G212" s="6" t="n">
        <f aca="false">IF(ISNUMBER(SEARCH(","&amp;G$1&amp;",",","&amp;$D212&amp;",")),1,0)</f>
        <v>0</v>
      </c>
      <c r="H212" s="6" t="n">
        <f aca="false">IF(ISNUMBER(SEARCH(","&amp;H$1&amp;",",","&amp;$D212&amp;",")),1,0)</f>
        <v>0</v>
      </c>
      <c r="I212" s="6" t="n">
        <f aca="false">IF(ISNUMBER(SEARCH(","&amp;I$1&amp;",",","&amp;$D212&amp;",")),1,0)</f>
        <v>0</v>
      </c>
      <c r="J212" s="6" t="n">
        <f aca="false">IF(ISNUMBER(SEARCH(","&amp;J$1&amp;",",","&amp;$D212&amp;",")),1,0)</f>
        <v>0</v>
      </c>
      <c r="K212" s="6" t="n">
        <f aca="false">IF(ISNUMBER(SEARCH(","&amp;K$1&amp;",",","&amp;$D212&amp;",")),1,0)</f>
        <v>1</v>
      </c>
      <c r="L212" s="6" t="n">
        <f aca="false">IF(ISNUMBER(SEARCH(","&amp;L$1&amp;",",","&amp;$D212&amp;",")),1,0)</f>
        <v>0</v>
      </c>
      <c r="M212" s="6" t="n">
        <f aca="false">IF(ISNUMBER(SEARCH(","&amp;M$1&amp;",",","&amp;$D212&amp;",")),1,0)</f>
        <v>1</v>
      </c>
      <c r="N212" s="6" t="n">
        <f aca="false">IF(ISNUMBER(SEARCH(","&amp;N$1&amp;",",","&amp;$D212&amp;",")),1,0)</f>
        <v>0</v>
      </c>
    </row>
    <row r="213" customFormat="false" ht="23.85" hidden="false" customHeight="false" outlineLevel="0" collapsed="false">
      <c r="A213" s="2" t="s">
        <v>527</v>
      </c>
      <c r="B213" s="2" t="s">
        <v>623</v>
      </c>
      <c r="C213" s="3" t="s">
        <v>627</v>
      </c>
      <c r="D213" s="4" t="s">
        <v>625</v>
      </c>
      <c r="E213" s="5" t="s">
        <v>628</v>
      </c>
      <c r="F213" s="6" t="n">
        <f aca="false">IF(ISNUMBER(SEARCH(","&amp;F$1&amp;",",","&amp;$D213&amp;",")),1,0)</f>
        <v>0</v>
      </c>
      <c r="G213" s="6" t="n">
        <f aca="false">IF(ISNUMBER(SEARCH(","&amp;G$1&amp;",",","&amp;$D213&amp;",")),1,0)</f>
        <v>0</v>
      </c>
      <c r="H213" s="6" t="n">
        <f aca="false">IF(ISNUMBER(SEARCH(","&amp;H$1&amp;",",","&amp;$D213&amp;",")),1,0)</f>
        <v>0</v>
      </c>
      <c r="I213" s="6" t="n">
        <f aca="false">IF(ISNUMBER(SEARCH(","&amp;I$1&amp;",",","&amp;$D213&amp;",")),1,0)</f>
        <v>0</v>
      </c>
      <c r="J213" s="6" t="n">
        <f aca="false">IF(ISNUMBER(SEARCH(","&amp;J$1&amp;",",","&amp;$D213&amp;",")),1,0)</f>
        <v>0</v>
      </c>
      <c r="K213" s="6" t="n">
        <f aca="false">IF(ISNUMBER(SEARCH(","&amp;K$1&amp;",",","&amp;$D213&amp;",")),1,0)</f>
        <v>1</v>
      </c>
      <c r="L213" s="6" t="n">
        <f aca="false">IF(ISNUMBER(SEARCH(","&amp;L$1&amp;",",","&amp;$D213&amp;",")),1,0)</f>
        <v>0</v>
      </c>
      <c r="M213" s="6" t="n">
        <f aca="false">IF(ISNUMBER(SEARCH(","&amp;M$1&amp;",",","&amp;$D213&amp;",")),1,0)</f>
        <v>1</v>
      </c>
      <c r="N213" s="6" t="n">
        <f aca="false">IF(ISNUMBER(SEARCH(","&amp;N$1&amp;",",","&amp;$D213&amp;",")),1,0)</f>
        <v>0</v>
      </c>
    </row>
    <row r="214" customFormat="false" ht="23.85" hidden="false" customHeight="false" outlineLevel="0" collapsed="false">
      <c r="A214" s="2" t="s">
        <v>527</v>
      </c>
      <c r="B214" s="2" t="s">
        <v>623</v>
      </c>
      <c r="C214" s="3" t="s">
        <v>629</v>
      </c>
      <c r="D214" s="4" t="s">
        <v>630</v>
      </c>
      <c r="E214" s="5" t="s">
        <v>631</v>
      </c>
      <c r="F214" s="6" t="n">
        <f aca="false">IF(ISNUMBER(SEARCH(","&amp;F$1&amp;",",","&amp;$D214&amp;",")),1,0)</f>
        <v>0</v>
      </c>
      <c r="G214" s="6" t="n">
        <f aca="false">IF(ISNUMBER(SEARCH(","&amp;G$1&amp;",",","&amp;$D214&amp;",")),1,0)</f>
        <v>0</v>
      </c>
      <c r="H214" s="6" t="n">
        <f aca="false">IF(ISNUMBER(SEARCH(","&amp;H$1&amp;",",","&amp;$D214&amp;",")),1,0)</f>
        <v>1</v>
      </c>
      <c r="I214" s="6" t="n">
        <f aca="false">IF(ISNUMBER(SEARCH(","&amp;I$1&amp;",",","&amp;$D214&amp;",")),1,0)</f>
        <v>0</v>
      </c>
      <c r="J214" s="6" t="n">
        <f aca="false">IF(ISNUMBER(SEARCH(","&amp;J$1&amp;",",","&amp;$D214&amp;",")),1,0)</f>
        <v>0</v>
      </c>
      <c r="K214" s="6" t="n">
        <f aca="false">IF(ISNUMBER(SEARCH(","&amp;K$1&amp;",",","&amp;$D214&amp;",")),1,0)</f>
        <v>1</v>
      </c>
      <c r="L214" s="6" t="n">
        <f aca="false">IF(ISNUMBER(SEARCH(","&amp;L$1&amp;",",","&amp;$D214&amp;",")),1,0)</f>
        <v>0</v>
      </c>
      <c r="M214" s="6" t="n">
        <f aca="false">IF(ISNUMBER(SEARCH(","&amp;M$1&amp;",",","&amp;$D214&amp;",")),1,0)</f>
        <v>1</v>
      </c>
      <c r="N214" s="6" t="n">
        <f aca="false">IF(ISNUMBER(SEARCH(","&amp;N$1&amp;",",","&amp;$D214&amp;",")),1,0)</f>
        <v>0</v>
      </c>
    </row>
    <row r="215" customFormat="false" ht="23.85" hidden="false" customHeight="false" outlineLevel="0" collapsed="false">
      <c r="A215" s="2" t="s">
        <v>527</v>
      </c>
      <c r="B215" s="2" t="s">
        <v>623</v>
      </c>
      <c r="C215" s="3" t="s">
        <v>632</v>
      </c>
      <c r="D215" s="4" t="s">
        <v>309</v>
      </c>
      <c r="E215" s="5" t="s">
        <v>633</v>
      </c>
      <c r="F215" s="6" t="n">
        <f aca="false">IF(ISNUMBER(SEARCH(","&amp;F$1&amp;",",","&amp;$D215&amp;",")),1,0)</f>
        <v>1</v>
      </c>
      <c r="G215" s="6" t="n">
        <f aca="false">IF(ISNUMBER(SEARCH(","&amp;G$1&amp;",",","&amp;$D215&amp;",")),1,0)</f>
        <v>0</v>
      </c>
      <c r="H215" s="6" t="n">
        <f aca="false">IF(ISNUMBER(SEARCH(","&amp;H$1&amp;",",","&amp;$D215&amp;",")),1,0)</f>
        <v>0</v>
      </c>
      <c r="I215" s="6" t="n">
        <f aca="false">IF(ISNUMBER(SEARCH(","&amp;I$1&amp;",",","&amp;$D215&amp;",")),1,0)</f>
        <v>0</v>
      </c>
      <c r="J215" s="6" t="n">
        <f aca="false">IF(ISNUMBER(SEARCH(","&amp;J$1&amp;",",","&amp;$D215&amp;",")),1,0)</f>
        <v>0</v>
      </c>
      <c r="K215" s="6" t="n">
        <f aca="false">IF(ISNUMBER(SEARCH(","&amp;K$1&amp;",",","&amp;$D215&amp;",")),1,0)</f>
        <v>0</v>
      </c>
      <c r="L215" s="6" t="n">
        <f aca="false">IF(ISNUMBER(SEARCH(","&amp;L$1&amp;",",","&amp;$D215&amp;",")),1,0)</f>
        <v>0</v>
      </c>
      <c r="M215" s="6" t="n">
        <f aca="false">IF(ISNUMBER(SEARCH(","&amp;M$1&amp;",",","&amp;$D215&amp;",")),1,0)</f>
        <v>1</v>
      </c>
      <c r="N215" s="6" t="n">
        <f aca="false">IF(ISNUMBER(SEARCH(","&amp;N$1&amp;",",","&amp;$D215&amp;",")),1,0)</f>
        <v>0</v>
      </c>
    </row>
    <row r="216" customFormat="false" ht="35.05" hidden="false" customHeight="false" outlineLevel="0" collapsed="false">
      <c r="A216" s="2" t="s">
        <v>634</v>
      </c>
      <c r="B216" s="2" t="s">
        <v>635</v>
      </c>
      <c r="C216" s="3" t="s">
        <v>636</v>
      </c>
      <c r="D216" s="4" t="s">
        <v>637</v>
      </c>
      <c r="E216" s="5" t="s">
        <v>638</v>
      </c>
      <c r="F216" s="6" t="n">
        <f aca="false">IF(ISNUMBER(SEARCH(","&amp;F$1&amp;",",","&amp;$D216&amp;",")),1,0)</f>
        <v>0</v>
      </c>
      <c r="G216" s="6" t="n">
        <f aca="false">IF(ISNUMBER(SEARCH(","&amp;G$1&amp;",",","&amp;$D216&amp;",")),1,0)</f>
        <v>0</v>
      </c>
      <c r="H216" s="6" t="n">
        <f aca="false">IF(ISNUMBER(SEARCH(","&amp;H$1&amp;",",","&amp;$D216&amp;",")),1,0)</f>
        <v>1</v>
      </c>
      <c r="I216" s="6" t="n">
        <f aca="false">IF(ISNUMBER(SEARCH(","&amp;I$1&amp;",",","&amp;$D216&amp;",")),1,0)</f>
        <v>0</v>
      </c>
      <c r="J216" s="6" t="n">
        <f aca="false">IF(ISNUMBER(SEARCH(","&amp;J$1&amp;",",","&amp;$D216&amp;",")),1,0)</f>
        <v>0</v>
      </c>
      <c r="K216" s="6" t="n">
        <f aca="false">IF(ISNUMBER(SEARCH(","&amp;K$1&amp;",",","&amp;$D216&amp;",")),1,0)</f>
        <v>1</v>
      </c>
      <c r="L216" s="6" t="n">
        <f aca="false">IF(ISNUMBER(SEARCH(","&amp;L$1&amp;",",","&amp;$D216&amp;",")),1,0)</f>
        <v>0</v>
      </c>
      <c r="M216" s="6" t="n">
        <f aca="false">IF(ISNUMBER(SEARCH(","&amp;M$1&amp;",",","&amp;$D216&amp;",")),1,0)</f>
        <v>0</v>
      </c>
      <c r="N216" s="6" t="n">
        <f aca="false">IF(ISNUMBER(SEARCH(","&amp;N$1&amp;",",","&amp;$D216&amp;",")),1,0)</f>
        <v>0</v>
      </c>
    </row>
    <row r="217" customFormat="false" ht="23.85" hidden="false" customHeight="false" outlineLevel="0" collapsed="false">
      <c r="A217" s="2" t="s">
        <v>634</v>
      </c>
      <c r="B217" s="2" t="s">
        <v>639</v>
      </c>
      <c r="C217" s="3" t="s">
        <v>640</v>
      </c>
      <c r="D217" s="4" t="s">
        <v>641</v>
      </c>
      <c r="E217" s="5" t="s">
        <v>642</v>
      </c>
      <c r="F217" s="6" t="n">
        <f aca="false">IF(ISNUMBER(SEARCH(","&amp;F$1&amp;",",","&amp;$D217&amp;",")),1,0)</f>
        <v>1</v>
      </c>
      <c r="G217" s="6" t="n">
        <f aca="false">IF(ISNUMBER(SEARCH(","&amp;G$1&amp;",",","&amp;$D217&amp;",")),1,0)</f>
        <v>0</v>
      </c>
      <c r="H217" s="6" t="n">
        <f aca="false">IF(ISNUMBER(SEARCH(","&amp;H$1&amp;",",","&amp;$D217&amp;",")),1,0)</f>
        <v>0</v>
      </c>
      <c r="I217" s="6" t="n">
        <f aca="false">IF(ISNUMBER(SEARCH(","&amp;I$1&amp;",",","&amp;$D217&amp;",")),1,0)</f>
        <v>1</v>
      </c>
      <c r="J217" s="6" t="n">
        <f aca="false">IF(ISNUMBER(SEARCH(","&amp;J$1&amp;",",","&amp;$D217&amp;",")),1,0)</f>
        <v>0</v>
      </c>
      <c r="K217" s="6" t="n">
        <f aca="false">IF(ISNUMBER(SEARCH(","&amp;K$1&amp;",",","&amp;$D217&amp;",")),1,0)</f>
        <v>0</v>
      </c>
      <c r="L217" s="6" t="n">
        <f aca="false">IF(ISNUMBER(SEARCH(","&amp;L$1&amp;",",","&amp;$D217&amp;",")),1,0)</f>
        <v>0</v>
      </c>
      <c r="M217" s="6" t="n">
        <f aca="false">IF(ISNUMBER(SEARCH(","&amp;M$1&amp;",",","&amp;$D217&amp;",")),1,0)</f>
        <v>0</v>
      </c>
      <c r="N217" s="6" t="n">
        <f aca="false">IF(ISNUMBER(SEARCH(","&amp;N$1&amp;",",","&amp;$D217&amp;",")),1,0)</f>
        <v>0</v>
      </c>
    </row>
    <row r="218" customFormat="false" ht="23.85" hidden="false" customHeight="false" outlineLevel="0" collapsed="false">
      <c r="A218" s="2" t="s">
        <v>634</v>
      </c>
      <c r="B218" s="2" t="s">
        <v>643</v>
      </c>
      <c r="C218" s="3" t="s">
        <v>644</v>
      </c>
      <c r="D218" s="4" t="s">
        <v>8</v>
      </c>
      <c r="E218" s="5" t="s">
        <v>645</v>
      </c>
      <c r="F218" s="6" t="n">
        <f aca="false">IF(ISNUMBER(SEARCH(","&amp;F$1&amp;",",","&amp;$D218&amp;",")),1,0)</f>
        <v>0</v>
      </c>
      <c r="G218" s="6" t="n">
        <f aca="false">IF(ISNUMBER(SEARCH(","&amp;G$1&amp;",",","&amp;$D218&amp;",")),1,0)</f>
        <v>0</v>
      </c>
      <c r="H218" s="6" t="n">
        <f aca="false">IF(ISNUMBER(SEARCH(","&amp;H$1&amp;",",","&amp;$D218&amp;",")),1,0)</f>
        <v>0</v>
      </c>
      <c r="I218" s="6" t="n">
        <f aca="false">IF(ISNUMBER(SEARCH(","&amp;I$1&amp;",",","&amp;$D218&amp;",")),1,0)</f>
        <v>1</v>
      </c>
      <c r="J218" s="6" t="n">
        <f aca="false">IF(ISNUMBER(SEARCH(","&amp;J$1&amp;",",","&amp;$D218&amp;",")),1,0)</f>
        <v>0</v>
      </c>
      <c r="K218" s="6" t="n">
        <f aca="false">IF(ISNUMBER(SEARCH(","&amp;K$1&amp;",",","&amp;$D218&amp;",")),1,0)</f>
        <v>0</v>
      </c>
      <c r="L218" s="6" t="n">
        <f aca="false">IF(ISNUMBER(SEARCH(","&amp;L$1&amp;",",","&amp;$D218&amp;",")),1,0)</f>
        <v>0</v>
      </c>
      <c r="M218" s="6" t="n">
        <f aca="false">IF(ISNUMBER(SEARCH(","&amp;M$1&amp;",",","&amp;$D218&amp;",")),1,0)</f>
        <v>0</v>
      </c>
      <c r="N218" s="6" t="n">
        <f aca="false">IF(ISNUMBER(SEARCH(","&amp;N$1&amp;",",","&amp;$D218&amp;",")),1,0)</f>
        <v>0</v>
      </c>
    </row>
    <row r="219" customFormat="false" ht="23.85" hidden="false" customHeight="false" outlineLevel="0" collapsed="false">
      <c r="A219" s="2" t="s">
        <v>634</v>
      </c>
      <c r="B219" s="2" t="s">
        <v>77</v>
      </c>
      <c r="C219" s="3" t="s">
        <v>646</v>
      </c>
      <c r="D219" s="4" t="s">
        <v>6</v>
      </c>
      <c r="E219" s="5" t="s">
        <v>647</v>
      </c>
      <c r="F219" s="6" t="n">
        <f aca="false">IF(ISNUMBER(SEARCH(","&amp;F$1&amp;",",","&amp;$D219&amp;",")),1,0)</f>
        <v>0</v>
      </c>
      <c r="G219" s="6" t="n">
        <f aca="false">IF(ISNUMBER(SEARCH(","&amp;G$1&amp;",",","&amp;$D219&amp;",")),1,0)</f>
        <v>1</v>
      </c>
      <c r="H219" s="6" t="n">
        <f aca="false">IF(ISNUMBER(SEARCH(","&amp;H$1&amp;",",","&amp;$D219&amp;",")),1,0)</f>
        <v>0</v>
      </c>
      <c r="I219" s="6" t="n">
        <f aca="false">IF(ISNUMBER(SEARCH(","&amp;I$1&amp;",",","&amp;$D219&amp;",")),1,0)</f>
        <v>0</v>
      </c>
      <c r="J219" s="6" t="n">
        <f aca="false">IF(ISNUMBER(SEARCH(","&amp;J$1&amp;",",","&amp;$D219&amp;",")),1,0)</f>
        <v>0</v>
      </c>
      <c r="K219" s="6" t="n">
        <f aca="false">IF(ISNUMBER(SEARCH(","&amp;K$1&amp;",",","&amp;$D219&amp;",")),1,0)</f>
        <v>0</v>
      </c>
      <c r="L219" s="6" t="n">
        <f aca="false">IF(ISNUMBER(SEARCH(","&amp;L$1&amp;",",","&amp;$D219&amp;",")),1,0)</f>
        <v>0</v>
      </c>
      <c r="M219" s="6" t="n">
        <f aca="false">IF(ISNUMBER(SEARCH(","&amp;M$1&amp;",",","&amp;$D219&amp;",")),1,0)</f>
        <v>0</v>
      </c>
      <c r="N219" s="6" t="n">
        <f aca="false">IF(ISNUMBER(SEARCH(","&amp;N$1&amp;",",","&amp;$D219&amp;",")),1,0)</f>
        <v>0</v>
      </c>
    </row>
    <row r="220" customFormat="false" ht="15" hidden="false" customHeight="false" outlineLevel="0" collapsed="false">
      <c r="A220" s="2" t="s">
        <v>634</v>
      </c>
      <c r="B220" s="2" t="s">
        <v>80</v>
      </c>
      <c r="C220" s="3" t="s">
        <v>648</v>
      </c>
      <c r="D220" s="4" t="s">
        <v>5</v>
      </c>
      <c r="E220" s="5" t="s">
        <v>649</v>
      </c>
      <c r="F220" s="6" t="n">
        <f aca="false">IF(ISNUMBER(SEARCH(","&amp;F$1&amp;",",","&amp;$D220&amp;",")),1,0)</f>
        <v>1</v>
      </c>
      <c r="G220" s="6" t="n">
        <f aca="false">IF(ISNUMBER(SEARCH(","&amp;G$1&amp;",",","&amp;$D220&amp;",")),1,0)</f>
        <v>0</v>
      </c>
      <c r="H220" s="6" t="n">
        <f aca="false">IF(ISNUMBER(SEARCH(","&amp;H$1&amp;",",","&amp;$D220&amp;",")),1,0)</f>
        <v>0</v>
      </c>
      <c r="I220" s="6" t="n">
        <f aca="false">IF(ISNUMBER(SEARCH(","&amp;I$1&amp;",",","&amp;$D220&amp;",")),1,0)</f>
        <v>0</v>
      </c>
      <c r="J220" s="6" t="n">
        <f aca="false">IF(ISNUMBER(SEARCH(","&amp;J$1&amp;",",","&amp;$D220&amp;",")),1,0)</f>
        <v>0</v>
      </c>
      <c r="K220" s="6" t="n">
        <f aca="false">IF(ISNUMBER(SEARCH(","&amp;K$1&amp;",",","&amp;$D220&amp;",")),1,0)</f>
        <v>0</v>
      </c>
      <c r="L220" s="6" t="n">
        <f aca="false">IF(ISNUMBER(SEARCH(","&amp;L$1&amp;",",","&amp;$D220&amp;",")),1,0)</f>
        <v>0</v>
      </c>
      <c r="M220" s="6" t="n">
        <f aca="false">IF(ISNUMBER(SEARCH(","&amp;M$1&amp;",",","&amp;$D220&amp;",")),1,0)</f>
        <v>0</v>
      </c>
      <c r="N220" s="6" t="n">
        <f aca="false">IF(ISNUMBER(SEARCH(","&amp;N$1&amp;",",","&amp;$D220&amp;",")),1,0)</f>
        <v>0</v>
      </c>
    </row>
    <row r="221" customFormat="false" ht="15" hidden="false" customHeight="false" outlineLevel="0" collapsed="false">
      <c r="A221" s="2" t="s">
        <v>634</v>
      </c>
      <c r="B221" s="2" t="s">
        <v>650</v>
      </c>
      <c r="C221" s="3" t="s">
        <v>651</v>
      </c>
      <c r="D221" s="4" t="s">
        <v>5</v>
      </c>
      <c r="E221" s="5" t="s">
        <v>652</v>
      </c>
      <c r="F221" s="6" t="n">
        <f aca="false">IF(ISNUMBER(SEARCH(","&amp;F$1&amp;",",","&amp;$D221&amp;",")),1,0)</f>
        <v>1</v>
      </c>
      <c r="G221" s="6" t="n">
        <f aca="false">IF(ISNUMBER(SEARCH(","&amp;G$1&amp;",",","&amp;$D221&amp;",")),1,0)</f>
        <v>0</v>
      </c>
      <c r="H221" s="6" t="n">
        <f aca="false">IF(ISNUMBER(SEARCH(","&amp;H$1&amp;",",","&amp;$D221&amp;",")),1,0)</f>
        <v>0</v>
      </c>
      <c r="I221" s="6" t="n">
        <f aca="false">IF(ISNUMBER(SEARCH(","&amp;I$1&amp;",",","&amp;$D221&amp;",")),1,0)</f>
        <v>0</v>
      </c>
      <c r="J221" s="6" t="n">
        <f aca="false">IF(ISNUMBER(SEARCH(","&amp;J$1&amp;",",","&amp;$D221&amp;",")),1,0)</f>
        <v>0</v>
      </c>
      <c r="K221" s="6" t="n">
        <f aca="false">IF(ISNUMBER(SEARCH(","&amp;K$1&amp;",",","&amp;$D221&amp;",")),1,0)</f>
        <v>0</v>
      </c>
      <c r="L221" s="6" t="n">
        <f aca="false">IF(ISNUMBER(SEARCH(","&amp;L$1&amp;",",","&amp;$D221&amp;",")),1,0)</f>
        <v>0</v>
      </c>
      <c r="M221" s="6" t="n">
        <f aca="false">IF(ISNUMBER(SEARCH(","&amp;M$1&amp;",",","&amp;$D221&amp;",")),1,0)</f>
        <v>0</v>
      </c>
      <c r="N221" s="6" t="n">
        <f aca="false">IF(ISNUMBER(SEARCH(","&amp;N$1&amp;",",","&amp;$D221&amp;",")),1,0)</f>
        <v>0</v>
      </c>
    </row>
    <row r="222" customFormat="false" ht="23.85" hidden="false" customHeight="false" outlineLevel="0" collapsed="false">
      <c r="A222" s="2" t="s">
        <v>634</v>
      </c>
      <c r="B222" s="2" t="s">
        <v>653</v>
      </c>
      <c r="C222" s="3" t="s">
        <v>654</v>
      </c>
      <c r="D222" s="4" t="s">
        <v>5</v>
      </c>
      <c r="E222" s="5" t="s">
        <v>655</v>
      </c>
      <c r="F222" s="6" t="n">
        <f aca="false">IF(ISNUMBER(SEARCH(","&amp;F$1&amp;",",","&amp;$D222&amp;",")),1,0)</f>
        <v>1</v>
      </c>
      <c r="G222" s="6" t="n">
        <f aca="false">IF(ISNUMBER(SEARCH(","&amp;G$1&amp;",",","&amp;$D222&amp;",")),1,0)</f>
        <v>0</v>
      </c>
      <c r="H222" s="6" t="n">
        <f aca="false">IF(ISNUMBER(SEARCH(","&amp;H$1&amp;",",","&amp;$D222&amp;",")),1,0)</f>
        <v>0</v>
      </c>
      <c r="I222" s="6" t="n">
        <f aca="false">IF(ISNUMBER(SEARCH(","&amp;I$1&amp;",",","&amp;$D222&amp;",")),1,0)</f>
        <v>0</v>
      </c>
      <c r="J222" s="6" t="n">
        <f aca="false">IF(ISNUMBER(SEARCH(","&amp;J$1&amp;",",","&amp;$D222&amp;",")),1,0)</f>
        <v>0</v>
      </c>
      <c r="K222" s="6" t="n">
        <f aca="false">IF(ISNUMBER(SEARCH(","&amp;K$1&amp;",",","&amp;$D222&amp;",")),1,0)</f>
        <v>0</v>
      </c>
      <c r="L222" s="6" t="n">
        <f aca="false">IF(ISNUMBER(SEARCH(","&amp;L$1&amp;",",","&amp;$D222&amp;",")),1,0)</f>
        <v>0</v>
      </c>
      <c r="M222" s="6" t="n">
        <f aca="false">IF(ISNUMBER(SEARCH(","&amp;M$1&amp;",",","&amp;$D222&amp;",")),1,0)</f>
        <v>0</v>
      </c>
      <c r="N222" s="6" t="n">
        <f aca="false">IF(ISNUMBER(SEARCH(","&amp;N$1&amp;",",","&amp;$D222&amp;",")),1,0)</f>
        <v>0</v>
      </c>
    </row>
    <row r="223" customFormat="false" ht="23.85" hidden="false" customHeight="false" outlineLevel="0" collapsed="false">
      <c r="A223" s="2" t="s">
        <v>634</v>
      </c>
      <c r="B223" s="2" t="s">
        <v>656</v>
      </c>
      <c r="C223" s="3" t="s">
        <v>657</v>
      </c>
      <c r="D223" s="4" t="s">
        <v>6</v>
      </c>
      <c r="E223" s="5" t="s">
        <v>658</v>
      </c>
      <c r="F223" s="6" t="n">
        <f aca="false">IF(ISNUMBER(SEARCH(","&amp;F$1&amp;",",","&amp;$D223&amp;",")),1,0)</f>
        <v>0</v>
      </c>
      <c r="G223" s="6" t="n">
        <f aca="false">IF(ISNUMBER(SEARCH(","&amp;G$1&amp;",",","&amp;$D223&amp;",")),1,0)</f>
        <v>1</v>
      </c>
      <c r="H223" s="6" t="n">
        <f aca="false">IF(ISNUMBER(SEARCH(","&amp;H$1&amp;",",","&amp;$D223&amp;",")),1,0)</f>
        <v>0</v>
      </c>
      <c r="I223" s="6" t="n">
        <f aca="false">IF(ISNUMBER(SEARCH(","&amp;I$1&amp;",",","&amp;$D223&amp;",")),1,0)</f>
        <v>0</v>
      </c>
      <c r="J223" s="6" t="n">
        <f aca="false">IF(ISNUMBER(SEARCH(","&amp;J$1&amp;",",","&amp;$D223&amp;",")),1,0)</f>
        <v>0</v>
      </c>
      <c r="K223" s="6" t="n">
        <f aca="false">IF(ISNUMBER(SEARCH(","&amp;K$1&amp;",",","&amp;$D223&amp;",")),1,0)</f>
        <v>0</v>
      </c>
      <c r="L223" s="6" t="n">
        <f aca="false">IF(ISNUMBER(SEARCH(","&amp;L$1&amp;",",","&amp;$D223&amp;",")),1,0)</f>
        <v>0</v>
      </c>
      <c r="M223" s="6" t="n">
        <f aca="false">IF(ISNUMBER(SEARCH(","&amp;M$1&amp;",",","&amp;$D223&amp;",")),1,0)</f>
        <v>0</v>
      </c>
      <c r="N223" s="6" t="n">
        <f aca="false">IF(ISNUMBER(SEARCH(","&amp;N$1&amp;",",","&amp;$D223&amp;",")),1,0)</f>
        <v>0</v>
      </c>
    </row>
    <row r="224" customFormat="false" ht="15" hidden="false" customHeight="false" outlineLevel="0" collapsed="false">
      <c r="A224" s="2" t="s">
        <v>634</v>
      </c>
      <c r="B224" s="2" t="s">
        <v>659</v>
      </c>
      <c r="C224" s="3" t="s">
        <v>660</v>
      </c>
      <c r="D224" s="4" t="s">
        <v>6</v>
      </c>
      <c r="E224" s="5" t="s">
        <v>661</v>
      </c>
      <c r="F224" s="6" t="n">
        <f aca="false">IF(ISNUMBER(SEARCH(","&amp;F$1&amp;",",","&amp;$D224&amp;",")),1,0)</f>
        <v>0</v>
      </c>
      <c r="G224" s="6" t="n">
        <f aca="false">IF(ISNUMBER(SEARCH(","&amp;G$1&amp;",",","&amp;$D224&amp;",")),1,0)</f>
        <v>1</v>
      </c>
      <c r="H224" s="6" t="n">
        <f aca="false">IF(ISNUMBER(SEARCH(","&amp;H$1&amp;",",","&amp;$D224&amp;",")),1,0)</f>
        <v>0</v>
      </c>
      <c r="I224" s="6" t="n">
        <f aca="false">IF(ISNUMBER(SEARCH(","&amp;I$1&amp;",",","&amp;$D224&amp;",")),1,0)</f>
        <v>0</v>
      </c>
      <c r="J224" s="6" t="n">
        <f aca="false">IF(ISNUMBER(SEARCH(","&amp;J$1&amp;",",","&amp;$D224&amp;",")),1,0)</f>
        <v>0</v>
      </c>
      <c r="K224" s="6" t="n">
        <f aca="false">IF(ISNUMBER(SEARCH(","&amp;K$1&amp;",",","&amp;$D224&amp;",")),1,0)</f>
        <v>0</v>
      </c>
      <c r="L224" s="6" t="n">
        <f aca="false">IF(ISNUMBER(SEARCH(","&amp;L$1&amp;",",","&amp;$D224&amp;",")),1,0)</f>
        <v>0</v>
      </c>
      <c r="M224" s="6" t="n">
        <f aca="false">IF(ISNUMBER(SEARCH(","&amp;M$1&amp;",",","&amp;$D224&amp;",")),1,0)</f>
        <v>0</v>
      </c>
      <c r="N224" s="6" t="n">
        <f aca="false">IF(ISNUMBER(SEARCH(","&amp;N$1&amp;",",","&amp;$D224&amp;",")),1,0)</f>
        <v>0</v>
      </c>
    </row>
    <row r="225" customFormat="false" ht="23.85" hidden="false" customHeight="false" outlineLevel="0" collapsed="false">
      <c r="A225" s="2" t="s">
        <v>634</v>
      </c>
      <c r="B225" s="2" t="s">
        <v>662</v>
      </c>
      <c r="C225" s="3" t="s">
        <v>663</v>
      </c>
      <c r="D225" s="4" t="s">
        <v>5</v>
      </c>
      <c r="E225" s="5" t="s">
        <v>664</v>
      </c>
      <c r="F225" s="6" t="n">
        <f aca="false">IF(ISNUMBER(SEARCH(","&amp;F$1&amp;",",","&amp;$D225&amp;",")),1,0)</f>
        <v>1</v>
      </c>
      <c r="G225" s="6" t="n">
        <f aca="false">IF(ISNUMBER(SEARCH(","&amp;G$1&amp;",",","&amp;$D225&amp;",")),1,0)</f>
        <v>0</v>
      </c>
      <c r="H225" s="6" t="n">
        <f aca="false">IF(ISNUMBER(SEARCH(","&amp;H$1&amp;",",","&amp;$D225&amp;",")),1,0)</f>
        <v>0</v>
      </c>
      <c r="I225" s="6" t="n">
        <f aca="false">IF(ISNUMBER(SEARCH(","&amp;I$1&amp;",",","&amp;$D225&amp;",")),1,0)</f>
        <v>0</v>
      </c>
      <c r="J225" s="6" t="n">
        <f aca="false">IF(ISNUMBER(SEARCH(","&amp;J$1&amp;",",","&amp;$D225&amp;",")),1,0)</f>
        <v>0</v>
      </c>
      <c r="K225" s="6" t="n">
        <f aca="false">IF(ISNUMBER(SEARCH(","&amp;K$1&amp;",",","&amp;$D225&amp;",")),1,0)</f>
        <v>0</v>
      </c>
      <c r="L225" s="6" t="n">
        <f aca="false">IF(ISNUMBER(SEARCH(","&amp;L$1&amp;",",","&amp;$D225&amp;",")),1,0)</f>
        <v>0</v>
      </c>
      <c r="M225" s="6" t="n">
        <f aca="false">IF(ISNUMBER(SEARCH(","&amp;M$1&amp;",",","&amp;$D225&amp;",")),1,0)</f>
        <v>0</v>
      </c>
      <c r="N225" s="6" t="n">
        <f aca="false">IF(ISNUMBER(SEARCH(","&amp;N$1&amp;",",","&amp;$D225&amp;",")),1,0)</f>
        <v>0</v>
      </c>
    </row>
    <row r="226" customFormat="false" ht="23.85" hidden="false" customHeight="false" outlineLevel="0" collapsed="false">
      <c r="A226" s="2" t="s">
        <v>634</v>
      </c>
      <c r="B226" s="2" t="s">
        <v>665</v>
      </c>
      <c r="C226" s="3" t="s">
        <v>666</v>
      </c>
      <c r="D226" s="4" t="s">
        <v>5</v>
      </c>
      <c r="E226" s="5" t="s">
        <v>667</v>
      </c>
      <c r="F226" s="6" t="n">
        <f aca="false">IF(ISNUMBER(SEARCH(","&amp;F$1&amp;",",","&amp;$D226&amp;",")),1,0)</f>
        <v>1</v>
      </c>
      <c r="G226" s="6" t="n">
        <f aca="false">IF(ISNUMBER(SEARCH(","&amp;G$1&amp;",",","&amp;$D226&amp;",")),1,0)</f>
        <v>0</v>
      </c>
      <c r="H226" s="6" t="n">
        <f aca="false">IF(ISNUMBER(SEARCH(","&amp;H$1&amp;",",","&amp;$D226&amp;",")),1,0)</f>
        <v>0</v>
      </c>
      <c r="I226" s="6" t="n">
        <f aca="false">IF(ISNUMBER(SEARCH(","&amp;I$1&amp;",",","&amp;$D226&amp;",")),1,0)</f>
        <v>0</v>
      </c>
      <c r="J226" s="6" t="n">
        <f aca="false">IF(ISNUMBER(SEARCH(","&amp;J$1&amp;",",","&amp;$D226&amp;",")),1,0)</f>
        <v>0</v>
      </c>
      <c r="K226" s="6" t="n">
        <f aca="false">IF(ISNUMBER(SEARCH(","&amp;K$1&amp;",",","&amp;$D226&amp;",")),1,0)</f>
        <v>0</v>
      </c>
      <c r="L226" s="6" t="n">
        <f aca="false">IF(ISNUMBER(SEARCH(","&amp;L$1&amp;",",","&amp;$D226&amp;",")),1,0)</f>
        <v>0</v>
      </c>
      <c r="M226" s="6" t="n">
        <f aca="false">IF(ISNUMBER(SEARCH(","&amp;M$1&amp;",",","&amp;$D226&amp;",")),1,0)</f>
        <v>0</v>
      </c>
      <c r="N226" s="6" t="n">
        <f aca="false">IF(ISNUMBER(SEARCH(","&amp;N$1&amp;",",","&amp;$D226&amp;",")),1,0)</f>
        <v>0</v>
      </c>
    </row>
    <row r="227" customFormat="false" ht="23.85" hidden="false" customHeight="false" outlineLevel="0" collapsed="false">
      <c r="A227" s="2" t="s">
        <v>634</v>
      </c>
      <c r="B227" s="2" t="s">
        <v>668</v>
      </c>
      <c r="C227" s="3" t="s">
        <v>669</v>
      </c>
      <c r="D227" s="4" t="s">
        <v>5</v>
      </c>
      <c r="E227" s="5" t="s">
        <v>670</v>
      </c>
      <c r="F227" s="6" t="n">
        <f aca="false">IF(ISNUMBER(SEARCH(","&amp;F$1&amp;",",","&amp;$D227&amp;",")),1,0)</f>
        <v>1</v>
      </c>
      <c r="G227" s="6" t="n">
        <f aca="false">IF(ISNUMBER(SEARCH(","&amp;G$1&amp;",",","&amp;$D227&amp;",")),1,0)</f>
        <v>0</v>
      </c>
      <c r="H227" s="6" t="n">
        <f aca="false">IF(ISNUMBER(SEARCH(","&amp;H$1&amp;",",","&amp;$D227&amp;",")),1,0)</f>
        <v>0</v>
      </c>
      <c r="I227" s="6" t="n">
        <f aca="false">IF(ISNUMBER(SEARCH(","&amp;I$1&amp;",",","&amp;$D227&amp;",")),1,0)</f>
        <v>0</v>
      </c>
      <c r="J227" s="6" t="n">
        <f aca="false">IF(ISNUMBER(SEARCH(","&amp;J$1&amp;",",","&amp;$D227&amp;",")),1,0)</f>
        <v>0</v>
      </c>
      <c r="K227" s="6" t="n">
        <f aca="false">IF(ISNUMBER(SEARCH(","&amp;K$1&amp;",",","&amp;$D227&amp;",")),1,0)</f>
        <v>0</v>
      </c>
      <c r="L227" s="6" t="n">
        <f aca="false">IF(ISNUMBER(SEARCH(","&amp;L$1&amp;",",","&amp;$D227&amp;",")),1,0)</f>
        <v>0</v>
      </c>
      <c r="M227" s="6" t="n">
        <f aca="false">IF(ISNUMBER(SEARCH(","&amp;M$1&amp;",",","&amp;$D227&amp;",")),1,0)</f>
        <v>0</v>
      </c>
      <c r="N227" s="6" t="n">
        <f aca="false">IF(ISNUMBER(SEARCH(","&amp;N$1&amp;",",","&amp;$D227&amp;",")),1,0)</f>
        <v>0</v>
      </c>
    </row>
    <row r="228" customFormat="false" ht="23.85" hidden="false" customHeight="false" outlineLevel="0" collapsed="false">
      <c r="A228" s="2" t="s">
        <v>634</v>
      </c>
      <c r="B228" s="2" t="s">
        <v>671</v>
      </c>
      <c r="C228" s="3" t="s">
        <v>672</v>
      </c>
      <c r="D228" s="4" t="s">
        <v>8</v>
      </c>
      <c r="E228" s="5" t="s">
        <v>673</v>
      </c>
      <c r="F228" s="6" t="n">
        <f aca="false">IF(ISNUMBER(SEARCH(","&amp;F$1&amp;",",","&amp;$D228&amp;",")),1,0)</f>
        <v>0</v>
      </c>
      <c r="G228" s="6" t="n">
        <f aca="false">IF(ISNUMBER(SEARCH(","&amp;G$1&amp;",",","&amp;$D228&amp;",")),1,0)</f>
        <v>0</v>
      </c>
      <c r="H228" s="6" t="n">
        <f aca="false">IF(ISNUMBER(SEARCH(","&amp;H$1&amp;",",","&amp;$D228&amp;",")),1,0)</f>
        <v>0</v>
      </c>
      <c r="I228" s="6" t="n">
        <f aca="false">IF(ISNUMBER(SEARCH(","&amp;I$1&amp;",",","&amp;$D228&amp;",")),1,0)</f>
        <v>1</v>
      </c>
      <c r="J228" s="6" t="n">
        <f aca="false">IF(ISNUMBER(SEARCH(","&amp;J$1&amp;",",","&amp;$D228&amp;",")),1,0)</f>
        <v>0</v>
      </c>
      <c r="K228" s="6" t="n">
        <f aca="false">IF(ISNUMBER(SEARCH(","&amp;K$1&amp;",",","&amp;$D228&amp;",")),1,0)</f>
        <v>0</v>
      </c>
      <c r="L228" s="6" t="n">
        <f aca="false">IF(ISNUMBER(SEARCH(","&amp;L$1&amp;",",","&amp;$D228&amp;",")),1,0)</f>
        <v>0</v>
      </c>
      <c r="M228" s="6" t="n">
        <f aca="false">IF(ISNUMBER(SEARCH(","&amp;M$1&amp;",",","&amp;$D228&amp;",")),1,0)</f>
        <v>0</v>
      </c>
      <c r="N228" s="6" t="n">
        <f aca="false">IF(ISNUMBER(SEARCH(","&amp;N$1&amp;",",","&amp;$D228&amp;",")),1,0)</f>
        <v>0</v>
      </c>
    </row>
  </sheetData>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45"/>
    <col collapsed="false" customWidth="true" hidden="false" outlineLevel="0" max="5" min="4" style="0" width="11"/>
    <col collapsed="false" customWidth="true" hidden="false" outlineLevel="0" max="6" min="6" style="0" width="55"/>
  </cols>
  <sheetData>
    <row r="1" customFormat="false" ht="17.35" hidden="false" customHeight="false" outlineLevel="0" collapsed="false">
      <c r="A1" s="7" t="s">
        <v>674</v>
      </c>
      <c r="B1" s="7"/>
      <c r="C1" s="7"/>
      <c r="D1" s="7"/>
      <c r="E1" s="7"/>
      <c r="F1" s="7"/>
    </row>
    <row r="2" customFormat="false" ht="15" hidden="false" customHeight="false" outlineLevel="0" collapsed="false">
      <c r="A2" s="8" t="s">
        <v>675</v>
      </c>
      <c r="B2" s="8"/>
      <c r="C2" s="8"/>
      <c r="D2" s="8"/>
      <c r="E2" s="8"/>
      <c r="F2" s="8"/>
    </row>
    <row r="4" customFormat="false" ht="15" hidden="false" customHeight="false" outlineLevel="0" collapsed="false">
      <c r="A4" s="1" t="s">
        <v>676</v>
      </c>
      <c r="B4" s="1" t="s">
        <v>677</v>
      </c>
      <c r="C4" s="1" t="s">
        <v>2</v>
      </c>
      <c r="D4" s="1" t="s">
        <v>678</v>
      </c>
      <c r="E4" s="1" t="s">
        <v>679</v>
      </c>
      <c r="F4" s="1" t="s">
        <v>680</v>
      </c>
    </row>
    <row r="5" customFormat="false" ht="22.35" hidden="false" customHeight="false" outlineLevel="0" collapsed="false">
      <c r="A5" s="9" t="s">
        <v>5</v>
      </c>
      <c r="B5" s="2" t="s">
        <v>681</v>
      </c>
      <c r="C5" s="3" t="s">
        <v>682</v>
      </c>
      <c r="D5" s="6" t="n">
        <f aca="false">SUM('Detalle (227 casos)'!F2:F228)</f>
        <v>97</v>
      </c>
      <c r="E5" s="10" t="n">
        <f aca="false">D5/$D$14</f>
        <v>0.427312775330396</v>
      </c>
      <c r="F5" s="11" t="s">
        <v>683</v>
      </c>
    </row>
    <row r="6" customFormat="false" ht="23.85" hidden="false" customHeight="false" outlineLevel="0" collapsed="false">
      <c r="A6" s="9" t="s">
        <v>6</v>
      </c>
      <c r="B6" s="2" t="s">
        <v>684</v>
      </c>
      <c r="C6" s="3" t="s">
        <v>685</v>
      </c>
      <c r="D6" s="6" t="n">
        <f aca="false">SUM('Detalle (227 casos)'!G2:G228)</f>
        <v>50</v>
      </c>
      <c r="E6" s="10" t="n">
        <f aca="false">D6/$D$14</f>
        <v>0.220264317180617</v>
      </c>
      <c r="F6" s="11" t="s">
        <v>686</v>
      </c>
    </row>
    <row r="7" customFormat="false" ht="23.85" hidden="false" customHeight="false" outlineLevel="0" collapsed="false">
      <c r="A7" s="9" t="s">
        <v>7</v>
      </c>
      <c r="B7" s="2" t="s">
        <v>687</v>
      </c>
      <c r="C7" s="3" t="s">
        <v>688</v>
      </c>
      <c r="D7" s="6" t="n">
        <f aca="false">SUM('Detalle (227 casos)'!H2:H228)</f>
        <v>10</v>
      </c>
      <c r="E7" s="10" t="n">
        <f aca="false">D7/$D$14</f>
        <v>0.0440528634361234</v>
      </c>
      <c r="F7" s="11" t="s">
        <v>689</v>
      </c>
    </row>
    <row r="8" customFormat="false" ht="22.35" hidden="false" customHeight="false" outlineLevel="0" collapsed="false">
      <c r="A8" s="9" t="s">
        <v>8</v>
      </c>
      <c r="B8" s="2" t="s">
        <v>690</v>
      </c>
      <c r="C8" s="3" t="s">
        <v>691</v>
      </c>
      <c r="D8" s="6" t="n">
        <f aca="false">SUM('Detalle (227 casos)'!I2:I228)</f>
        <v>21</v>
      </c>
      <c r="E8" s="10" t="n">
        <f aca="false">D8/$D$14</f>
        <v>0.092511013215859</v>
      </c>
      <c r="F8" s="11" t="s">
        <v>692</v>
      </c>
    </row>
    <row r="9" customFormat="false" ht="43.25" hidden="false" customHeight="false" outlineLevel="0" collapsed="false">
      <c r="A9" s="9" t="s">
        <v>9</v>
      </c>
      <c r="B9" s="2" t="s">
        <v>693</v>
      </c>
      <c r="C9" s="3" t="s">
        <v>694</v>
      </c>
      <c r="D9" s="6" t="n">
        <f aca="false">SUM('Detalle (227 casos)'!J2:J228)</f>
        <v>0</v>
      </c>
      <c r="E9" s="10" t="n">
        <f aca="false">D9/$D$14</f>
        <v>0</v>
      </c>
      <c r="F9" s="12" t="s">
        <v>695</v>
      </c>
    </row>
    <row r="10" customFormat="false" ht="32.8" hidden="false" customHeight="false" outlineLevel="0" collapsed="false">
      <c r="A10" s="9" t="s">
        <v>10</v>
      </c>
      <c r="B10" s="2" t="s">
        <v>696</v>
      </c>
      <c r="C10" s="3" t="s">
        <v>697</v>
      </c>
      <c r="D10" s="6" t="n">
        <f aca="false">SUM('Detalle (227 casos)'!K2:K228)</f>
        <v>5</v>
      </c>
      <c r="E10" s="10" t="n">
        <f aca="false">D10/$D$14</f>
        <v>0.0220264317180617</v>
      </c>
      <c r="F10" s="11" t="s">
        <v>698</v>
      </c>
    </row>
    <row r="11" customFormat="false" ht="32.8" hidden="false" customHeight="false" outlineLevel="0" collapsed="false">
      <c r="A11" s="9" t="s">
        <v>11</v>
      </c>
      <c r="B11" s="2" t="s">
        <v>699</v>
      </c>
      <c r="C11" s="3" t="s">
        <v>700</v>
      </c>
      <c r="D11" s="6" t="n">
        <f aca="false">SUM('Detalle (227 casos)'!L2:L228)</f>
        <v>6</v>
      </c>
      <c r="E11" s="10" t="n">
        <f aca="false">D11/$D$14</f>
        <v>0.026431718061674</v>
      </c>
      <c r="F11" s="12" t="s">
        <v>701</v>
      </c>
    </row>
    <row r="12" customFormat="false" ht="32.8" hidden="false" customHeight="false" outlineLevel="0" collapsed="false">
      <c r="A12" s="9" t="s">
        <v>12</v>
      </c>
      <c r="B12" s="2" t="s">
        <v>702</v>
      </c>
      <c r="C12" s="3" t="s">
        <v>703</v>
      </c>
      <c r="D12" s="6" t="n">
        <f aca="false">SUM('Detalle (227 casos)'!M2:M228)</f>
        <v>117</v>
      </c>
      <c r="E12" s="10" t="n">
        <f aca="false">D12/$D$14</f>
        <v>0.515418502202643</v>
      </c>
      <c r="F12" s="11" t="s">
        <v>704</v>
      </c>
    </row>
    <row r="13" customFormat="false" ht="43.25" hidden="false" customHeight="false" outlineLevel="0" collapsed="false">
      <c r="A13" s="9" t="s">
        <v>13</v>
      </c>
      <c r="B13" s="2" t="s">
        <v>705</v>
      </c>
      <c r="C13" s="3" t="s">
        <v>706</v>
      </c>
      <c r="D13" s="6" t="n">
        <f aca="false">SUM('Detalle (227 casos)'!N2:N228)</f>
        <v>20</v>
      </c>
      <c r="E13" s="10" t="n">
        <f aca="false">D13/$D$14</f>
        <v>0.0881057268722467</v>
      </c>
      <c r="F13" s="11" t="s">
        <v>707</v>
      </c>
    </row>
    <row r="14" customFormat="false" ht="15" hidden="false" customHeight="false" outlineLevel="0" collapsed="false">
      <c r="A14" s="13" t="s">
        <v>708</v>
      </c>
      <c r="B14" s="13" t="s">
        <v>709</v>
      </c>
      <c r="C14" s="14"/>
      <c r="D14" s="15" t="n">
        <f aca="false">COUNTA('Detalle (227 casos)'!B2:B228)</f>
        <v>227</v>
      </c>
      <c r="E14" s="14"/>
      <c r="F14" s="14"/>
    </row>
    <row r="16" customFormat="false" ht="39.75" hidden="false" customHeight="true" outlineLevel="0" collapsed="false">
      <c r="A16" s="16" t="s">
        <v>710</v>
      </c>
      <c r="B16" s="16"/>
      <c r="C16" s="16"/>
      <c r="D16" s="16"/>
      <c r="E16" s="16"/>
      <c r="F16" s="16"/>
    </row>
  </sheetData>
  <mergeCells count="3">
    <mergeCell ref="A1:F1"/>
    <mergeCell ref="A2:F2"/>
    <mergeCell ref="A16:F16"/>
  </mergeCells>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2026-08-16T14:25:13Z</dcterms:created>
  <dc:creator>openpyxl</dc:creator>
  <dc:description/>
  <dc:language>en-US</dc:language>
  <cp:lastModifiedBy/>
  <dcterms:modified xsi:type="dcterms:W3CDTF">2026-08-16T14:25:13Z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